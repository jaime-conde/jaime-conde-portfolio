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i0\Downloads\"/>
    </mc:Choice>
  </mc:AlternateContent>
  <xr:revisionPtr revIDLastSave="0" documentId="13_ncr:1_{941B4437-D43D-4825-80F0-F1C6F5F7421C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Dashboard" sheetId="1" r:id="rId1"/>
    <sheet name="Annual Inputs" sheetId="2" r:id="rId2"/>
    <sheet name="Check Allocator" sheetId="3" r:id="rId3"/>
    <sheet name="Spending Tracker" sheetId="4" r:id="rId4"/>
    <sheet name="Lists" sheetId="5" r:id="rId5"/>
  </sheets>
  <calcPr calcId="191029"/>
</workbook>
</file>

<file path=xl/calcChain.xml><?xml version="1.0" encoding="utf-8"?>
<calcChain xmlns="http://schemas.openxmlformats.org/spreadsheetml/2006/main">
  <c r="I33" i="4" l="1"/>
  <c r="H33" i="4"/>
  <c r="G33" i="4"/>
  <c r="F33" i="4"/>
  <c r="E33" i="4"/>
  <c r="I32" i="4"/>
  <c r="H32" i="4"/>
  <c r="G32" i="4"/>
  <c r="F32" i="4"/>
  <c r="E32" i="4"/>
  <c r="I31" i="4"/>
  <c r="H31" i="4"/>
  <c r="G31" i="4"/>
  <c r="F31" i="4"/>
  <c r="E31" i="4"/>
  <c r="I30" i="4"/>
  <c r="H30" i="4"/>
  <c r="G30" i="4"/>
  <c r="F30" i="4"/>
  <c r="E30" i="4"/>
  <c r="I29" i="4"/>
  <c r="H29" i="4"/>
  <c r="G29" i="4"/>
  <c r="F29" i="4"/>
  <c r="E29" i="4"/>
  <c r="I28" i="4"/>
  <c r="H28" i="4"/>
  <c r="G28" i="4"/>
  <c r="J28" i="4" s="1"/>
  <c r="F28" i="4"/>
  <c r="E28" i="4"/>
  <c r="I27" i="4"/>
  <c r="H27" i="4"/>
  <c r="G27" i="4"/>
  <c r="F27" i="4"/>
  <c r="E27" i="4"/>
  <c r="I26" i="4"/>
  <c r="H26" i="4"/>
  <c r="G26" i="4"/>
  <c r="J26" i="4" s="1"/>
  <c r="F26" i="4"/>
  <c r="E26" i="4"/>
  <c r="I25" i="4"/>
  <c r="H25" i="4"/>
  <c r="G25" i="4"/>
  <c r="F25" i="4"/>
  <c r="E25" i="4"/>
  <c r="I24" i="4"/>
  <c r="H24" i="4"/>
  <c r="J24" i="4" s="1"/>
  <c r="G24" i="4"/>
  <c r="F24" i="4"/>
  <c r="E24" i="4"/>
  <c r="I23" i="4"/>
  <c r="H23" i="4"/>
  <c r="G23" i="4"/>
  <c r="J23" i="4" s="1"/>
  <c r="F23" i="4"/>
  <c r="E23" i="4"/>
  <c r="I22" i="4"/>
  <c r="H22" i="4"/>
  <c r="G22" i="4"/>
  <c r="J22" i="4" s="1"/>
  <c r="F22" i="4"/>
  <c r="E22" i="4"/>
  <c r="I21" i="4"/>
  <c r="H21" i="4"/>
  <c r="G21" i="4"/>
  <c r="J21" i="4" s="1"/>
  <c r="F21" i="4"/>
  <c r="E21" i="4"/>
  <c r="I20" i="4"/>
  <c r="H20" i="4"/>
  <c r="G20" i="4"/>
  <c r="J20" i="4" s="1"/>
  <c r="F20" i="4"/>
  <c r="E20" i="4"/>
  <c r="I19" i="4"/>
  <c r="H19" i="4"/>
  <c r="G19" i="4"/>
  <c r="J19" i="4" s="1"/>
  <c r="F19" i="4"/>
  <c r="E19" i="4"/>
  <c r="I18" i="4"/>
  <c r="H18" i="4"/>
  <c r="G18" i="4"/>
  <c r="J18" i="4" s="1"/>
  <c r="F18" i="4"/>
  <c r="E18" i="4"/>
  <c r="I17" i="4"/>
  <c r="H17" i="4"/>
  <c r="G17" i="4"/>
  <c r="F17" i="4"/>
  <c r="E17" i="4"/>
  <c r="I16" i="4"/>
  <c r="H16" i="4"/>
  <c r="G16" i="4"/>
  <c r="J16" i="4" s="1"/>
  <c r="F16" i="4"/>
  <c r="E16" i="4"/>
  <c r="I15" i="4"/>
  <c r="H15" i="4"/>
  <c r="G15" i="4"/>
  <c r="J15" i="4" s="1"/>
  <c r="F15" i="4"/>
  <c r="E15" i="4"/>
  <c r="I14" i="4"/>
  <c r="H14" i="4"/>
  <c r="G14" i="4"/>
  <c r="F14" i="4"/>
  <c r="E14" i="4"/>
  <c r="I13" i="4"/>
  <c r="H13" i="4"/>
  <c r="G13" i="4"/>
  <c r="F13" i="4"/>
  <c r="E13" i="4"/>
  <c r="I12" i="4"/>
  <c r="J12" i="4" s="1"/>
  <c r="H12" i="4"/>
  <c r="G12" i="4"/>
  <c r="F12" i="4"/>
  <c r="E12" i="4"/>
  <c r="I11" i="4"/>
  <c r="H11" i="4"/>
  <c r="G11" i="4"/>
  <c r="J11" i="4" s="1"/>
  <c r="F11" i="4"/>
  <c r="E11" i="4"/>
  <c r="I10" i="4"/>
  <c r="H10" i="4"/>
  <c r="G10" i="4"/>
  <c r="J10" i="4" s="1"/>
  <c r="F10" i="4"/>
  <c r="E10" i="4"/>
  <c r="H6" i="4"/>
  <c r="E6" i="4"/>
  <c r="H5" i="4"/>
  <c r="E5" i="4"/>
  <c r="B5" i="4"/>
  <c r="G2" i="4"/>
  <c r="B19" i="3"/>
  <c r="B18" i="3"/>
  <c r="C18" i="3" s="1"/>
  <c r="E18" i="3" s="1"/>
  <c r="B17" i="3"/>
  <c r="B16" i="3"/>
  <c r="C16" i="3" s="1"/>
  <c r="E16" i="3" s="1"/>
  <c r="B15" i="3"/>
  <c r="B14" i="3"/>
  <c r="C14" i="3" s="1"/>
  <c r="E14" i="3" s="1"/>
  <c r="B13" i="3"/>
  <c r="C13" i="3" s="1"/>
  <c r="E13" i="3" s="1"/>
  <c r="B12" i="3"/>
  <c r="C12" i="3" s="1"/>
  <c r="E12" i="3" s="1"/>
  <c r="D11" i="3"/>
  <c r="B11" i="3"/>
  <c r="C11" i="3" s="1"/>
  <c r="E11" i="3" s="1"/>
  <c r="B7" i="3"/>
  <c r="B4" i="3"/>
  <c r="C17" i="3" s="1"/>
  <c r="E17" i="3" s="1"/>
  <c r="D17" i="2"/>
  <c r="C17" i="2"/>
  <c r="D16" i="2"/>
  <c r="D15" i="2"/>
  <c r="D14" i="2"/>
  <c r="E8" i="1" s="1"/>
  <c r="F8" i="1" s="1"/>
  <c r="D13" i="2"/>
  <c r="D12" i="2"/>
  <c r="D11" i="2"/>
  <c r="D10" i="2"/>
  <c r="D9" i="2"/>
  <c r="D8" i="2"/>
  <c r="E2" i="1" s="1"/>
  <c r="F2" i="1" s="1"/>
  <c r="D5" i="2"/>
  <c r="D4" i="2"/>
  <c r="D3" i="2"/>
  <c r="D2" i="2"/>
  <c r="E11" i="1"/>
  <c r="F11" i="1" s="1"/>
  <c r="E10" i="1"/>
  <c r="F10" i="1" s="1"/>
  <c r="E9" i="1"/>
  <c r="F9" i="1" s="1"/>
  <c r="E7" i="1"/>
  <c r="F7" i="1" s="1"/>
  <c r="B7" i="1"/>
  <c r="E6" i="1"/>
  <c r="F6" i="1" s="1"/>
  <c r="B6" i="1"/>
  <c r="E5" i="1"/>
  <c r="F5" i="1" s="1"/>
  <c r="B5" i="1"/>
  <c r="E4" i="1"/>
  <c r="F4" i="1" s="1"/>
  <c r="B4" i="1"/>
  <c r="E3" i="1"/>
  <c r="F3" i="1" s="1"/>
  <c r="B3" i="1"/>
  <c r="B2" i="1"/>
  <c r="J13" i="4" l="1"/>
  <c r="J32" i="4"/>
  <c r="B6" i="4"/>
  <c r="J29" i="4"/>
  <c r="J31" i="4"/>
  <c r="J17" i="4"/>
  <c r="J14" i="4"/>
  <c r="J33" i="4"/>
  <c r="J30" i="4"/>
  <c r="J25" i="4"/>
  <c r="J27" i="4"/>
  <c r="C19" i="3"/>
  <c r="E19" i="3" s="1"/>
  <c r="B20" i="3"/>
  <c r="C20" i="3" s="1"/>
  <c r="C15" i="3"/>
  <c r="E15" i="3" s="1"/>
  <c r="E22" i="3" s="1"/>
  <c r="E23" i="3" s="1"/>
  <c r="E20" i="3"/>
</calcChain>
</file>

<file path=xl/sharedStrings.xml><?xml version="1.0" encoding="utf-8"?>
<sst xmlns="http://schemas.openxmlformats.org/spreadsheetml/2006/main" count="188" uniqueCount="129">
  <si>
    <t>Bucket</t>
  </si>
  <si>
    <t>Suggested %</t>
  </si>
  <si>
    <t>Allocation on $10k Check</t>
  </si>
  <si>
    <t>Notes</t>
  </si>
  <si>
    <t>Gross Income Used</t>
  </si>
  <si>
    <t>Labor / subcontractors</t>
  </si>
  <si>
    <t>Total Adjusted Cash Reserves</t>
  </si>
  <si>
    <t>Auto / truck</t>
  </si>
  <si>
    <t>Net Profit After SE Tax</t>
  </si>
  <si>
    <t>Equipment / machines</t>
  </si>
  <si>
    <t>Self-Employment Tax</t>
  </si>
  <si>
    <t>Insurance</t>
  </si>
  <si>
    <t>Owner Pay/Profit Allocation</t>
  </si>
  <si>
    <t>Admin / office</t>
  </si>
  <si>
    <t>Tax Reserve Allocation</t>
  </si>
  <si>
    <t>Supplies / uniforms</t>
  </si>
  <si>
    <t>Travel / meals</t>
  </si>
  <si>
    <t>Other / miscellaneous</t>
  </si>
  <si>
    <t>Tax reserve</t>
  </si>
  <si>
    <t>Owner pay/profit</t>
  </si>
  <si>
    <t>Source / Item</t>
  </si>
  <si>
    <t>Total Schedule C Expenses</t>
  </si>
  <si>
    <t>Check Allocator</t>
  </si>
  <si>
    <t>Check amount</t>
  </si>
  <si>
    <t>Pass-through / reimbursed amount included in check</t>
  </si>
  <si>
    <t>Allocatable income</t>
  </si>
  <si>
    <t>Weekly labor/pay need</t>
  </si>
  <si>
    <t>Weeks to protect</t>
  </si>
  <si>
    <t>Required labor reserve</t>
  </si>
  <si>
    <t>Labor method</t>
  </si>
  <si>
    <t>Use greater of % or reserve</t>
  </si>
  <si>
    <t>Allocation %</t>
  </si>
  <si>
    <t>Percent-Based Amount</t>
  </si>
  <si>
    <t>Minimum Reserve</t>
  </si>
  <si>
    <t>Final Allocation</t>
  </si>
  <si>
    <t>Total allocated</t>
  </si>
  <si>
    <t>Unallocated / shortage</t>
  </si>
  <si>
    <t>Negative means reserve targets exceed this check</t>
  </si>
  <si>
    <t>Summary</t>
  </si>
  <si>
    <t>Projected annual usable income</t>
  </si>
  <si>
    <t>Projected annual taxes</t>
  </si>
  <si>
    <t>Latest filled pay #</t>
  </si>
  <si>
    <t>Average usable per pay</t>
  </si>
  <si>
    <t>Average tax reserve per pay</t>
  </si>
  <si>
    <t>Projected annual total</t>
  </si>
  <si>
    <t>Pay Date</t>
  </si>
  <si>
    <t>Usable Income</t>
  </si>
  <si>
    <t>Tax Reserve</t>
  </si>
  <si>
    <t>Total Recorded</t>
  </si>
  <si>
    <t>Usable YTD</t>
  </si>
  <si>
    <t>Projected Annual Usable Income</t>
  </si>
  <si>
    <t>Tax YTD</t>
  </si>
  <si>
    <t>Projected Annual Taxes</t>
  </si>
  <si>
    <t>Projected Annual Total</t>
  </si>
  <si>
    <t>Estimated Avg Temp (°F)</t>
  </si>
  <si>
    <t>Season / Work Note</t>
  </si>
  <si>
    <t>Cold / slow season risk</t>
  </si>
  <si>
    <t>Cold / rain risk</t>
  </si>
  <si>
    <t>Weather improving</t>
  </si>
  <si>
    <t>Better exterior work season</t>
  </si>
  <si>
    <t>Strong work season</t>
  </si>
  <si>
    <t>Hot but workable</t>
  </si>
  <si>
    <t>Good exterior work season</t>
  </si>
  <si>
    <t>Slowing season</t>
  </si>
  <si>
    <t>Cold / slower season risk</t>
  </si>
  <si>
    <t>Categories</t>
  </si>
  <si>
    <t>Yes/No</t>
  </si>
  <si>
    <t>Yes</t>
  </si>
  <si>
    <t>No</t>
  </si>
  <si>
    <t>Pass-through / reimbursed</t>
  </si>
  <si>
    <t>Cash Allocation Dashboard — Portfolio Sample</t>
  </si>
  <si>
    <t>Illustrative labor reserve</t>
  </si>
  <si>
    <t>Annual vehicle allowance</t>
  </si>
  <si>
    <t>Conservative equipment reserve</t>
  </si>
  <si>
    <t>Illustrative insurance reserve</t>
  </si>
  <si>
    <t>Administrative and professional costs</t>
  </si>
  <si>
    <t>Assumed covered separately</t>
  </si>
  <si>
    <t>Assumed reimbursed separately</t>
  </si>
  <si>
    <t>Contingency reserve</t>
  </si>
  <si>
    <t>Illustrative tax reserve</t>
  </si>
  <si>
    <t>Formula-driven remainder</t>
  </si>
  <si>
    <t>Sample Annual Amount</t>
  </si>
  <si>
    <t>Cash-Flow Adjusted Amount</t>
  </si>
  <si>
    <t>% of Gross</t>
  </si>
  <si>
    <t>Fictional gross receipts used for portfolio demonstration.</t>
  </si>
  <si>
    <t>Sample expense baseline; not all expenses require equal cash reserves.</t>
  </si>
  <si>
    <t>Illustrative self-employment tax input.</t>
  </si>
  <si>
    <t>Sample operating profit less the tax input.</t>
  </si>
  <si>
    <t>Cash Allocation Amount</t>
  </si>
  <si>
    <t>Treatment / Notes</t>
  </si>
  <si>
    <t>Illustrative subcontractor reserve.</t>
  </si>
  <si>
    <t>Annual vehicle operating allowance.</t>
  </si>
  <si>
    <t>Conservative equipment and maintenance reserve.</t>
  </si>
  <si>
    <t>Illustrative insurance reserve.</t>
  </si>
  <si>
    <t>Administrative, professional, phone, and office costs.</t>
  </si>
  <si>
    <t>Assumed covered under the prime contract.</t>
  </si>
  <si>
    <t>Assumed reimbursed or covered separately.</t>
  </si>
  <si>
    <t>Contingency and miscellaneous operating reserve.</t>
  </si>
  <si>
    <t>Illustrative 14% planning reserve.</t>
  </si>
  <si>
    <t>Formula-driven remainder after adjusted reserves.</t>
  </si>
  <si>
    <t>Exclude pass-through materials and reimbursements before allocating operating cash.</t>
  </si>
  <si>
    <t>Uses the greater of the percentage allocation or the protected labor reserve.</t>
  </si>
  <si>
    <t>Vehicle operating allowance.</t>
  </si>
  <si>
    <t>Equipment and maintenance reserve.</t>
  </si>
  <si>
    <t>Insurance reserve can be adjusted when covered elsewhere.</t>
  </si>
  <si>
    <t>Administrative and professional costs.</t>
  </si>
  <si>
    <t>Assumed covered separately.</t>
  </si>
  <si>
    <t>Contingency reserve.</t>
  </si>
  <si>
    <t>Conservative tax planning reserve.</t>
  </si>
  <si>
    <t>Formula-driven remainder after reserves.</t>
  </si>
  <si>
    <t>Pay-Period Cash Allocation &amp; Annual Projection</t>
  </si>
  <si>
    <t>Enter usable income and tax reserve for each semi-monthly pay period. Fictional sample values reflect seasonal work volume correlated with estimated temperature; projection = average filled amount × 24 pays.</t>
  </si>
  <si>
    <t>Pay Period #</t>
  </si>
  <si>
    <t>Notes / How to use</t>
  </si>
  <si>
    <t>1</t>
  </si>
  <si>
    <t>Enter usable income from each semi-monthly payment in column C.</t>
  </si>
  <si>
    <t>2</t>
  </si>
  <si>
    <t>Enter the tax reserve set aside from that same payment in column D.</t>
  </si>
  <si>
    <t>3</t>
  </si>
  <si>
    <t>Projected annual income = average of filled pay periods × 24.</t>
  </si>
  <si>
    <t>4</t>
  </si>
  <si>
    <t>Exclude reimbursed or pass-through funds before entering usable income or tax reserve.</t>
  </si>
  <si>
    <t>5</t>
  </si>
  <si>
    <t>Leave future pay periods blank; enter $0 only when the actual amount is zero.</t>
  </si>
  <si>
    <t>Fictional portfolio values model positive seasonal correlation between temperature and construction income.</t>
  </si>
  <si>
    <t>Source type</t>
  </si>
  <si>
    <t>NOAA/NCEI U.S. Climate Normals 1991–2020</t>
  </si>
  <si>
    <t>URL</t>
  </si>
  <si>
    <t>https://www.ncei.noaa.gov/access/us-climate-normals/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</si>
</sst>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.00;[Red]\-\$#,##0.00;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sz val="11"/>
      <name val="Carlito"/>
    </font>
    <font>
      <b/>
      <sz val="11"/>
      <color theme="1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1"/>
    <xf numFmtId="0" fontId="5" fillId="0" borderId="1"/>
  </cellStyleXfs>
  <cellXfs count="40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3" borderId="0" xfId="0" applyNumberFormat="1" applyFill="1"/>
    <xf numFmtId="165" fontId="0" fillId="3" borderId="0" xfId="0" applyNumberFormat="1" applyFill="1"/>
    <xf numFmtId="165" fontId="0" fillId="0" borderId="0" xfId="0" applyNumberFormat="1"/>
    <xf numFmtId="164" fontId="0" fillId="0" borderId="0" xfId="0" applyNumberFormat="1"/>
    <xf numFmtId="164" fontId="2" fillId="2" borderId="0" xfId="0" applyNumberFormat="1" applyFont="1" applyFill="1"/>
    <xf numFmtId="165" fontId="2" fillId="2" borderId="0" xfId="0" applyNumberFormat="1" applyFont="1" applyFill="1"/>
    <xf numFmtId="164" fontId="0" fillId="4" borderId="0" xfId="0" applyNumberFormat="1" applyFill="1"/>
    <xf numFmtId="164" fontId="0" fillId="5" borderId="0" xfId="0" applyNumberFormat="1" applyFill="1"/>
    <xf numFmtId="14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2" fontId="0" fillId="3" borderId="0" xfId="0" applyNumberForma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166" fontId="0" fillId="8" borderId="0" xfId="0" applyNumberFormat="1" applyFill="1"/>
    <xf numFmtId="166" fontId="0" fillId="0" borderId="0" xfId="0" applyNumberFormat="1"/>
    <xf numFmtId="166" fontId="0" fillId="9" borderId="0" xfId="0" applyNumberFormat="1" applyFill="1"/>
    <xf numFmtId="1" fontId="0" fillId="9" borderId="0" xfId="0" applyNumberFormat="1" applyFill="1"/>
    <xf numFmtId="166" fontId="6" fillId="9" borderId="0" xfId="0" applyNumberFormat="1" applyFont="1" applyFill="1"/>
    <xf numFmtId="0" fontId="2" fillId="10" borderId="0" xfId="0" applyFont="1" applyFill="1"/>
    <xf numFmtId="0" fontId="0" fillId="10" borderId="0" xfId="0" applyFill="1"/>
    <xf numFmtId="0" fontId="5" fillId="0" borderId="1" xfId="2"/>
    <xf numFmtId="0" fontId="2" fillId="6" borderId="1" xfId="2" applyFont="1" applyFill="1" applyAlignment="1">
      <alignment horizontal="center" vertical="center"/>
    </xf>
    <xf numFmtId="0" fontId="2" fillId="6" borderId="1" xfId="2" applyFont="1" applyFill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right" vertical="center" wrapText="1"/>
    </xf>
    <xf numFmtId="14" fontId="0" fillId="11" borderId="0" xfId="0" applyNumberFormat="1" applyFill="1" applyAlignment="1">
      <alignment vertical="center" wrapText="1"/>
    </xf>
    <xf numFmtId="166" fontId="0" fillId="11" borderId="0" xfId="0" applyNumberFormat="1" applyFill="1"/>
    <xf numFmtId="1" fontId="5" fillId="11" borderId="1" xfId="2" applyNumberFormat="1" applyFill="1" applyAlignment="1">
      <alignment wrapText="1"/>
    </xf>
    <xf numFmtId="14" fontId="5" fillId="11" borderId="1" xfId="2" applyNumberFormat="1" applyFill="1" applyAlignment="1">
      <alignment wrapText="1"/>
    </xf>
    <xf numFmtId="0" fontId="5" fillId="11" borderId="1" xfId="2" applyFill="1" applyAlignment="1">
      <alignment wrapText="1"/>
    </xf>
    <xf numFmtId="0" fontId="7" fillId="11" borderId="1" xfId="2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7" borderId="0" xfId="0" applyFont="1" applyFill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Allocation on $10k Check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Allocation on $10k Check</c:v>
          </c:tx>
          <c:invertIfNegative val="1"/>
          <c:cat>
            <c:strRef>
              <c:f>Dashboard!$D$2:$D$11</c:f>
              <c:strCache>
                <c:ptCount val="10"/>
                <c:pt idx="0">
                  <c:v>Labor / subcontractors</c:v>
                </c:pt>
                <c:pt idx="1">
                  <c:v>Auto / truck</c:v>
                </c:pt>
                <c:pt idx="2">
                  <c:v>Equipment / machines</c:v>
                </c:pt>
                <c:pt idx="3">
                  <c:v>Insurance</c:v>
                </c:pt>
                <c:pt idx="4">
                  <c:v>Admin / office</c:v>
                </c:pt>
                <c:pt idx="5">
                  <c:v>Supplies / uniforms</c:v>
                </c:pt>
                <c:pt idx="6">
                  <c:v>Travel / meals</c:v>
                </c:pt>
                <c:pt idx="7">
                  <c:v>Other / miscellaneous</c:v>
                </c:pt>
                <c:pt idx="8">
                  <c:v>Tax reserve</c:v>
                </c:pt>
                <c:pt idx="9">
                  <c:v>Owner pay/profit</c:v>
                </c:pt>
              </c:strCache>
            </c:strRef>
          </c:cat>
          <c:val>
            <c:numRef>
              <c:f>Dashboard!$F$2:$F$11</c:f>
              <c:numCache>
                <c:formatCode>\$#,##0</c:formatCode>
                <c:ptCount val="10"/>
                <c:pt idx="0">
                  <c:v>3000</c:v>
                </c:pt>
                <c:pt idx="1">
                  <c:v>466.66666666666669</c:v>
                </c:pt>
                <c:pt idx="2">
                  <c:v>666.66666666666663</c:v>
                </c:pt>
                <c:pt idx="3">
                  <c:v>500</c:v>
                </c:pt>
                <c:pt idx="4">
                  <c:v>333.33333333333331</c:v>
                </c:pt>
                <c:pt idx="5">
                  <c:v>0</c:v>
                </c:pt>
                <c:pt idx="6">
                  <c:v>0</c:v>
                </c:pt>
                <c:pt idx="7">
                  <c:v>200</c:v>
                </c:pt>
                <c:pt idx="8">
                  <c:v>1400.0000000000002</c:v>
                </c:pt>
                <c:pt idx="9">
                  <c:v>3433.333333333333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6-4F53-8FC3-42EA82294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Biweekly income/Temperature vs. Biweekly timeline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Biweekly Income Column</c:v>
          </c:tx>
          <c:spPr>
            <a:solidFill>
              <a:schemeClr val="accent1"/>
            </a:solidFill>
            <a:ln w="63500">
              <a:solidFill>
                <a:schemeClr val="accent1"/>
              </a:solidFill>
            </a:ln>
          </c:spPr>
          <c:invertIfNegative val="0"/>
          <c:dLbls>
            <c:delete val="1"/>
          </c:dLbls>
          <c:cat>
            <c:numRef>
              <c:f>'Spending Tracker'!$B$10:$B$33</c:f>
              <c:numCache>
                <c:formatCode>m/d/yyyy</c:formatCode>
                <c:ptCount val="24"/>
                <c:pt idx="0">
                  <c:v>46029</c:v>
                </c:pt>
                <c:pt idx="1">
                  <c:v>46044</c:v>
                </c:pt>
                <c:pt idx="2">
                  <c:v>46060</c:v>
                </c:pt>
                <c:pt idx="3">
                  <c:v>46075</c:v>
                </c:pt>
                <c:pt idx="4">
                  <c:v>46088</c:v>
                </c:pt>
                <c:pt idx="5">
                  <c:v>46103</c:v>
                </c:pt>
                <c:pt idx="6">
                  <c:v>46119</c:v>
                </c:pt>
                <c:pt idx="7">
                  <c:v>46134</c:v>
                </c:pt>
                <c:pt idx="8">
                  <c:v>46149</c:v>
                </c:pt>
                <c:pt idx="9">
                  <c:v>46164</c:v>
                </c:pt>
                <c:pt idx="10">
                  <c:v>46180</c:v>
                </c:pt>
                <c:pt idx="11">
                  <c:v>46195</c:v>
                </c:pt>
                <c:pt idx="12">
                  <c:v>46210</c:v>
                </c:pt>
                <c:pt idx="13">
                  <c:v>46225</c:v>
                </c:pt>
                <c:pt idx="14">
                  <c:v>46241</c:v>
                </c:pt>
                <c:pt idx="15">
                  <c:v>46256</c:v>
                </c:pt>
                <c:pt idx="16">
                  <c:v>46272</c:v>
                </c:pt>
                <c:pt idx="17">
                  <c:v>46287</c:v>
                </c:pt>
                <c:pt idx="18">
                  <c:v>46302</c:v>
                </c:pt>
                <c:pt idx="19">
                  <c:v>46317</c:v>
                </c:pt>
                <c:pt idx="20">
                  <c:v>46333</c:v>
                </c:pt>
                <c:pt idx="21">
                  <c:v>46348</c:v>
                </c:pt>
                <c:pt idx="22">
                  <c:v>46363</c:v>
                </c:pt>
                <c:pt idx="23">
                  <c:v>46378</c:v>
                </c:pt>
              </c:numCache>
            </c:numRef>
          </c:cat>
          <c:val>
            <c:numRef>
              <c:f>'Spending Tracker'!$E$10:$E$33</c:f>
              <c:numCache>
                <c:formatCode>\$#,##0.00;[Red]\-\$#,##0.00;</c:formatCode>
                <c:ptCount val="24"/>
                <c:pt idx="0">
                  <c:v>2050</c:v>
                </c:pt>
                <c:pt idx="1">
                  <c:v>2400</c:v>
                </c:pt>
                <c:pt idx="2">
                  <c:v>3000</c:v>
                </c:pt>
                <c:pt idx="3">
                  <c:v>2950</c:v>
                </c:pt>
                <c:pt idx="4">
                  <c:v>3900</c:v>
                </c:pt>
                <c:pt idx="5">
                  <c:v>4300</c:v>
                </c:pt>
                <c:pt idx="6">
                  <c:v>4550</c:v>
                </c:pt>
                <c:pt idx="7">
                  <c:v>5000</c:v>
                </c:pt>
                <c:pt idx="8">
                  <c:v>5250</c:v>
                </c:pt>
                <c:pt idx="9">
                  <c:v>5600</c:v>
                </c:pt>
                <c:pt idx="10">
                  <c:v>5800</c:v>
                </c:pt>
                <c:pt idx="11">
                  <c:v>6150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E-4901-8B0D-6951DA6F44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66226911"/>
        <c:axId val="1266225471"/>
      </c:barChart>
      <c:lineChart>
        <c:grouping val="standard"/>
        <c:varyColors val="0"/>
        <c:ser>
          <c:idx val="1"/>
          <c:order val="1"/>
          <c:tx>
            <c:v>Biweekly Income Line</c:v>
          </c:tx>
          <c:spPr>
            <a:ln>
              <a:noFill/>
            </a:ln>
          </c:spPr>
          <c:marker>
            <c:symbol val="none"/>
          </c:marker>
          <c:trendline>
            <c:name>Biweekly Income Trendline</c:name>
            <c:spPr>
              <a:ln w="38100">
                <a:solidFill>
                  <a:schemeClr val="accent1">
                    <a:alpha val="45000"/>
                  </a:schemeClr>
                </a:solidFill>
              </a:ln>
            </c:spPr>
            <c:trendlineType val="poly"/>
            <c:order val="3"/>
            <c:dispRSqr val="1"/>
            <c:dispEq val="0"/>
            <c:trendlineLbl>
              <c:layout>
                <c:manualLayout>
                  <c:x val="0.48135445525312193"/>
                  <c:y val="-0.13427416112833701"/>
                </c:manualLayout>
              </c:layout>
              <c:numFmt formatCode="General" sourceLinked="0"/>
            </c:trendlineLbl>
          </c:trendline>
          <c:cat>
            <c:numRef>
              <c:f>'Spending Tracker'!$B$10:$B$21</c:f>
              <c:numCache>
                <c:formatCode>m/d/yyyy</c:formatCode>
                <c:ptCount val="12"/>
                <c:pt idx="0">
                  <c:v>46029</c:v>
                </c:pt>
                <c:pt idx="1">
                  <c:v>46044</c:v>
                </c:pt>
                <c:pt idx="2">
                  <c:v>46060</c:v>
                </c:pt>
                <c:pt idx="3">
                  <c:v>46075</c:v>
                </c:pt>
                <c:pt idx="4">
                  <c:v>46088</c:v>
                </c:pt>
                <c:pt idx="5">
                  <c:v>46103</c:v>
                </c:pt>
                <c:pt idx="6">
                  <c:v>46119</c:v>
                </c:pt>
                <c:pt idx="7">
                  <c:v>46134</c:v>
                </c:pt>
                <c:pt idx="8">
                  <c:v>46149</c:v>
                </c:pt>
                <c:pt idx="9">
                  <c:v>46164</c:v>
                </c:pt>
                <c:pt idx="10">
                  <c:v>46180</c:v>
                </c:pt>
                <c:pt idx="11">
                  <c:v>46195</c:v>
                </c:pt>
              </c:numCache>
            </c:numRef>
          </c:cat>
          <c:val>
            <c:numRef>
              <c:f>'Spending Tracker'!$E$10:$E$21</c:f>
              <c:numCache>
                <c:formatCode>\$#,##0.00;[Red]\-\$#,##0.00;</c:formatCode>
                <c:ptCount val="12"/>
                <c:pt idx="0">
                  <c:v>2050</c:v>
                </c:pt>
                <c:pt idx="1">
                  <c:v>2400</c:v>
                </c:pt>
                <c:pt idx="2">
                  <c:v>3000</c:v>
                </c:pt>
                <c:pt idx="3">
                  <c:v>2950</c:v>
                </c:pt>
                <c:pt idx="4">
                  <c:v>3900</c:v>
                </c:pt>
                <c:pt idx="5">
                  <c:v>4300</c:v>
                </c:pt>
                <c:pt idx="6">
                  <c:v>4550</c:v>
                </c:pt>
                <c:pt idx="7">
                  <c:v>5000</c:v>
                </c:pt>
                <c:pt idx="8">
                  <c:v>5250</c:v>
                </c:pt>
                <c:pt idx="9">
                  <c:v>5600</c:v>
                </c:pt>
                <c:pt idx="10">
                  <c:v>5800</c:v>
                </c:pt>
                <c:pt idx="11">
                  <c:v>6150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DE-4901-8B0D-6951DA6F4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226911"/>
        <c:axId val="1266225471"/>
      </c:lineChart>
      <c:lineChart>
        <c:grouping val="standard"/>
        <c:varyColors val="0"/>
        <c:ser>
          <c:idx val="2"/>
          <c:order val="2"/>
          <c:tx>
            <c:v>Temperature</c:v>
          </c:tx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'Spending Tracker'!$B$10:$B$21</c:f>
              <c:numCache>
                <c:formatCode>m/d/yyyy</c:formatCode>
                <c:ptCount val="12"/>
                <c:pt idx="0">
                  <c:v>46029</c:v>
                </c:pt>
                <c:pt idx="1">
                  <c:v>46044</c:v>
                </c:pt>
                <c:pt idx="2">
                  <c:v>46060</c:v>
                </c:pt>
                <c:pt idx="3">
                  <c:v>46075</c:v>
                </c:pt>
                <c:pt idx="4">
                  <c:v>46088</c:v>
                </c:pt>
                <c:pt idx="5">
                  <c:v>46103</c:v>
                </c:pt>
                <c:pt idx="6">
                  <c:v>46119</c:v>
                </c:pt>
                <c:pt idx="7">
                  <c:v>46134</c:v>
                </c:pt>
                <c:pt idx="8">
                  <c:v>46149</c:v>
                </c:pt>
                <c:pt idx="9">
                  <c:v>46164</c:v>
                </c:pt>
                <c:pt idx="10">
                  <c:v>46180</c:v>
                </c:pt>
                <c:pt idx="11">
                  <c:v>46195</c:v>
                </c:pt>
              </c:numCache>
            </c:numRef>
          </c:cat>
          <c:val>
            <c:numRef>
              <c:f>'Spending Tracker'!$C$43:$C$66</c:f>
              <c:numCache>
                <c:formatCode>0</c:formatCode>
                <c:ptCount val="24"/>
                <c:pt idx="0">
                  <c:v>43</c:v>
                </c:pt>
                <c:pt idx="1">
                  <c:v>44</c:v>
                </c:pt>
                <c:pt idx="2">
                  <c:v>47</c:v>
                </c:pt>
                <c:pt idx="3">
                  <c:v>50</c:v>
                </c:pt>
                <c:pt idx="4">
                  <c:v>54</c:v>
                </c:pt>
                <c:pt idx="5">
                  <c:v>58</c:v>
                </c:pt>
                <c:pt idx="6">
                  <c:v>62</c:v>
                </c:pt>
                <c:pt idx="7">
                  <c:v>66</c:v>
                </c:pt>
                <c:pt idx="8">
                  <c:v>71</c:v>
                </c:pt>
                <c:pt idx="9">
                  <c:v>74</c:v>
                </c:pt>
                <c:pt idx="10">
                  <c:v>78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82</c:v>
                </c:pt>
                <c:pt idx="15">
                  <c:v>81</c:v>
                </c:pt>
                <c:pt idx="16">
                  <c:v>77</c:v>
                </c:pt>
                <c:pt idx="17">
                  <c:v>73</c:v>
                </c:pt>
                <c:pt idx="18">
                  <c:v>66</c:v>
                </c:pt>
                <c:pt idx="19">
                  <c:v>61</c:v>
                </c:pt>
                <c:pt idx="20">
                  <c:v>54</c:v>
                </c:pt>
                <c:pt idx="21">
                  <c:v>50</c:v>
                </c:pt>
                <c:pt idx="22">
                  <c:v>45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DE-4901-8B0D-6951DA6F4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8735"/>
        <c:axId val="16845375"/>
      </c:lineChart>
      <c:dateAx>
        <c:axId val="1266226911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buNone/>
                  <a:defRPr sz="1000" b="0" i="0" u="non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lang="en-US"/>
                  <a:t>Biweekly Timeline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1000" b="0" i="0" u="none" kern="1200" cap="all" spc="1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266225471"/>
        <c:crosses val="autoZero"/>
        <c:auto val="1"/>
        <c:lblOffset val="100"/>
        <c:baseTimeUnit val="days"/>
      </c:dateAx>
      <c:valAx>
        <c:axId val="1266225471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buNone/>
                  <a:defRPr sz="1000" b="0" i="0" u="non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lang="en-US"/>
                  <a:t>Biweekly Income</a:t>
                </a:r>
              </a:p>
            </c:rich>
          </c:tx>
          <c:overlay val="0"/>
        </c:title>
        <c:numFmt formatCode="\$#,##0.00;[Red]\-\$#,##0.00;" sourceLinked="1"/>
        <c:majorTickMark val="none"/>
        <c:minorTickMark val="none"/>
        <c:tickLblPos val="nextTo"/>
        <c:spPr>
          <a:ln w="9525" cmpd="sng"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266226911"/>
        <c:crosses val="autoZero"/>
        <c:crossBetween val="between"/>
      </c:valAx>
      <c:valAx>
        <c:axId val="16845375"/>
        <c:scaling>
          <c:orientation val="minMax"/>
          <c:max val="90"/>
          <c:min val="40"/>
        </c:scaling>
        <c:delete val="0"/>
        <c:axPos val="r"/>
        <c:numFmt formatCode="0\°&quot;F&quot;" sourceLinked="0"/>
        <c:majorTickMark val="out"/>
        <c:minorTickMark val="none"/>
        <c:tickLblPos val="nextTo"/>
        <c:spPr>
          <a:ln w="9525" cmpd="sng"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6848735"/>
        <c:crosses val="max"/>
        <c:crossBetween val="between"/>
      </c:valAx>
      <c:dateAx>
        <c:axId val="1684873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845375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b"/>
      <c:legendEntry>
        <c:idx val="1"/>
        <c:delete val="1"/>
      </c:legendEntry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1428750</xdr:colOff>
      <xdr:row>13</xdr:row>
      <xdr:rowOff>19050</xdr:rowOff>
    </xdr:from>
    <xdr:to>
      <xdr:col>6</xdr:col>
      <xdr:colOff>2009775</xdr:colOff>
      <xdr:row>30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14009</xdr:rowOff>
    </xdr:from>
    <xdr:to>
      <xdr:col>9</xdr:col>
      <xdr:colOff>1881553</xdr:colOff>
      <xdr:row>87</xdr:row>
      <xdr:rowOff>132790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defaultRowHeight="14.25"/>
  <cols>
    <col min="1" max="1" width="34" customWidth="1"/>
    <col min="2" max="2" width="8.375" customWidth="1"/>
    <col min="3" max="3" width="4.25" customWidth="1"/>
    <col min="4" max="4" width="19.5" customWidth="1"/>
    <col min="5" max="5" width="12.625" customWidth="1"/>
    <col min="6" max="6" width="23.25" customWidth="1"/>
    <col min="7" max="7" width="55.875" customWidth="1"/>
  </cols>
  <sheetData>
    <row r="1" spans="1:26" ht="39.75" customHeight="1">
      <c r="A1" s="14" t="s">
        <v>70</v>
      </c>
      <c r="B1" s="14"/>
      <c r="C1" s="14"/>
      <c r="D1" s="1" t="s">
        <v>0</v>
      </c>
      <c r="E1" s="1" t="s">
        <v>1</v>
      </c>
      <c r="F1" s="1" t="s">
        <v>2</v>
      </c>
      <c r="G1" s="1" t="s">
        <v>3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2" t="s">
        <v>4</v>
      </c>
      <c r="B2" s="5">
        <f>'Annual Inputs'!C2</f>
        <v>180000</v>
      </c>
      <c r="D2" t="s">
        <v>5</v>
      </c>
      <c r="E2" s="7">
        <f>INDEX('Annual Inputs'!$D$8:$D$17,MATCH(D2,'Annual Inputs'!$A$8:$A$17,0))</f>
        <v>0.3</v>
      </c>
      <c r="F2" s="8">
        <f t="shared" ref="F2:F11" si="0">10000*E2</f>
        <v>3000</v>
      </c>
      <c r="G2" t="s">
        <v>71</v>
      </c>
    </row>
    <row r="3" spans="1:26">
      <c r="A3" s="2" t="s">
        <v>6</v>
      </c>
      <c r="B3" s="5">
        <f>SUM('Annual Inputs'!C8:C16)</f>
        <v>118200</v>
      </c>
      <c r="D3" t="s">
        <v>7</v>
      </c>
      <c r="E3" s="7">
        <f>INDEX('Annual Inputs'!$D$8:$D$17,MATCH(D3,'Annual Inputs'!$A$8:$A$17,0))</f>
        <v>4.6666666666666669E-2</v>
      </c>
      <c r="F3" s="8">
        <f t="shared" si="0"/>
        <v>466.66666666666669</v>
      </c>
      <c r="G3" t="s">
        <v>72</v>
      </c>
    </row>
    <row r="4" spans="1:26">
      <c r="A4" s="2" t="s">
        <v>8</v>
      </c>
      <c r="B4" s="5">
        <f>'Annual Inputs'!C5</f>
        <v>47700</v>
      </c>
      <c r="D4" t="s">
        <v>9</v>
      </c>
      <c r="E4" s="7">
        <f>INDEX('Annual Inputs'!$D$8:$D$17,MATCH(D4,'Annual Inputs'!$A$8:$A$17,0))</f>
        <v>6.6666666666666666E-2</v>
      </c>
      <c r="F4" s="8">
        <f t="shared" si="0"/>
        <v>666.66666666666663</v>
      </c>
      <c r="G4" t="s">
        <v>73</v>
      </c>
    </row>
    <row r="5" spans="1:26">
      <c r="A5" s="2" t="s">
        <v>10</v>
      </c>
      <c r="B5" s="5">
        <f>'Annual Inputs'!C4</f>
        <v>7800</v>
      </c>
      <c r="D5" t="s">
        <v>11</v>
      </c>
      <c r="E5" s="7">
        <f>INDEX('Annual Inputs'!$D$8:$D$17,MATCH(D5,'Annual Inputs'!$A$8:$A$17,0))</f>
        <v>0.05</v>
      </c>
      <c r="F5" s="8">
        <f t="shared" si="0"/>
        <v>500</v>
      </c>
      <c r="G5" t="s">
        <v>74</v>
      </c>
    </row>
    <row r="6" spans="1:26">
      <c r="A6" s="2" t="s">
        <v>12</v>
      </c>
      <c r="B6" s="6">
        <f>INDEX('Annual Inputs'!$D$8:$D$17,MATCH("Owner pay/profit",'Annual Inputs'!$A$8:$A$17,0))</f>
        <v>0.34333333333333332</v>
      </c>
      <c r="D6" t="s">
        <v>13</v>
      </c>
      <c r="E6" s="7">
        <f>INDEX('Annual Inputs'!$D$8:$D$17,MATCH(D6,'Annual Inputs'!$A$8:$A$17,0))</f>
        <v>3.3333333333333333E-2</v>
      </c>
      <c r="F6" s="8">
        <f t="shared" si="0"/>
        <v>333.33333333333331</v>
      </c>
      <c r="G6" t="s">
        <v>75</v>
      </c>
    </row>
    <row r="7" spans="1:26">
      <c r="A7" s="2" t="s">
        <v>14</v>
      </c>
      <c r="B7" s="6">
        <f>INDEX('Annual Inputs'!$D$8:$D$17,MATCH("Tax reserve",'Annual Inputs'!$A$8:$A$17,0))</f>
        <v>0.14000000000000001</v>
      </c>
      <c r="D7" t="s">
        <v>15</v>
      </c>
      <c r="E7" s="7">
        <f>INDEX('Annual Inputs'!$D$8:$D$17,MATCH(D7,'Annual Inputs'!$A$8:$A$17,0))</f>
        <v>0</v>
      </c>
      <c r="F7" s="8">
        <f t="shared" si="0"/>
        <v>0</v>
      </c>
      <c r="G7" t="s">
        <v>76</v>
      </c>
    </row>
    <row r="8" spans="1:26">
      <c r="D8" t="s">
        <v>16</v>
      </c>
      <c r="E8" s="7">
        <f>INDEX('Annual Inputs'!$D$8:$D$17,MATCH(D8,'Annual Inputs'!$A$8:$A$17,0))</f>
        <v>0</v>
      </c>
      <c r="F8" s="8">
        <f t="shared" si="0"/>
        <v>0</v>
      </c>
      <c r="G8" t="s">
        <v>77</v>
      </c>
    </row>
    <row r="9" spans="1:26">
      <c r="D9" t="s">
        <v>17</v>
      </c>
      <c r="E9" s="7">
        <f>INDEX('Annual Inputs'!$D$8:$D$17,MATCH(D9,'Annual Inputs'!$A$8:$A$17,0))</f>
        <v>0.02</v>
      </c>
      <c r="F9" s="8">
        <f t="shared" si="0"/>
        <v>200</v>
      </c>
      <c r="G9" t="s">
        <v>78</v>
      </c>
    </row>
    <row r="10" spans="1:26">
      <c r="D10" t="s">
        <v>18</v>
      </c>
      <c r="E10" s="7">
        <f>INDEX('Annual Inputs'!$D$8:$D$17,MATCH(D10,'Annual Inputs'!$A$8:$A$17,0))</f>
        <v>0.14000000000000001</v>
      </c>
      <c r="F10" s="8">
        <f t="shared" si="0"/>
        <v>1400.0000000000002</v>
      </c>
      <c r="G10" t="s">
        <v>79</v>
      </c>
    </row>
    <row r="11" spans="1:26">
      <c r="D11" t="s">
        <v>19</v>
      </c>
      <c r="E11" s="7">
        <f>INDEX('Annual Inputs'!$D$8:$D$17,MATCH(D11,'Annual Inputs'!$A$8:$A$17,0))</f>
        <v>0.34333333333333332</v>
      </c>
      <c r="F11" s="8">
        <f t="shared" si="0"/>
        <v>3433.333333333333</v>
      </c>
      <c r="G11" t="s">
        <v>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/>
  </sheetViews>
  <sheetFormatPr defaultRowHeight="14.25"/>
  <cols>
    <col min="1" max="1" width="29" customWidth="1"/>
    <col min="2" max="2" width="22.75" customWidth="1"/>
    <col min="3" max="3" width="26" customWidth="1"/>
    <col min="4" max="4" width="11.625" customWidth="1"/>
    <col min="5" max="5" width="48" customWidth="1"/>
  </cols>
  <sheetData>
    <row r="1" spans="1:26" ht="18.75" customHeight="1">
      <c r="A1" s="16" t="s">
        <v>20</v>
      </c>
      <c r="B1" s="16" t="s">
        <v>81</v>
      </c>
      <c r="C1" s="16" t="s">
        <v>82</v>
      </c>
      <c r="D1" s="16" t="s">
        <v>83</v>
      </c>
      <c r="E1" s="16" t="s">
        <v>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t="s">
        <v>4</v>
      </c>
      <c r="B2" s="8">
        <v>180000</v>
      </c>
      <c r="C2" s="8">
        <v>180000</v>
      </c>
      <c r="D2" s="7">
        <f>C2/$C$2</f>
        <v>1</v>
      </c>
      <c r="E2" t="s">
        <v>84</v>
      </c>
    </row>
    <row r="3" spans="1:26">
      <c r="A3" t="s">
        <v>21</v>
      </c>
      <c r="B3" s="8">
        <v>124500</v>
      </c>
      <c r="C3" s="8">
        <v>124500</v>
      </c>
      <c r="D3" s="7">
        <f>C3/$C$2</f>
        <v>0.69166666666666665</v>
      </c>
      <c r="E3" t="s">
        <v>85</v>
      </c>
    </row>
    <row r="4" spans="1:26">
      <c r="A4" t="s">
        <v>10</v>
      </c>
      <c r="B4" s="8">
        <v>7800</v>
      </c>
      <c r="C4" s="8">
        <v>7800</v>
      </c>
      <c r="D4" s="7">
        <f>C4/$C$2</f>
        <v>4.3333333333333335E-2</v>
      </c>
      <c r="E4" t="s">
        <v>86</v>
      </c>
    </row>
    <row r="5" spans="1:26">
      <c r="A5" t="s">
        <v>8</v>
      </c>
      <c r="B5" s="8">
        <v>55500</v>
      </c>
      <c r="C5" s="8">
        <v>47700</v>
      </c>
      <c r="D5" s="7">
        <f>C5/$C$2</f>
        <v>0.26500000000000001</v>
      </c>
      <c r="E5" t="s">
        <v>87</v>
      </c>
    </row>
    <row r="6" spans="1:26">
      <c r="B6" s="8"/>
      <c r="C6" s="8"/>
      <c r="D6" s="7"/>
    </row>
    <row r="7" spans="1:26" ht="18.75" customHeight="1">
      <c r="A7" s="1" t="s">
        <v>0</v>
      </c>
      <c r="B7" s="9" t="s">
        <v>81</v>
      </c>
      <c r="C7" s="9" t="s">
        <v>88</v>
      </c>
      <c r="D7" s="10" t="s">
        <v>31</v>
      </c>
      <c r="E7" s="1" t="s">
        <v>89</v>
      </c>
    </row>
    <row r="8" spans="1:26">
      <c r="A8" t="s">
        <v>5</v>
      </c>
      <c r="B8" s="8">
        <v>54000</v>
      </c>
      <c r="C8" s="8">
        <v>54000</v>
      </c>
      <c r="D8" s="7">
        <f t="shared" ref="D8:D17" si="0">C8/$C$2</f>
        <v>0.3</v>
      </c>
      <c r="E8" t="s">
        <v>90</v>
      </c>
    </row>
    <row r="9" spans="1:26">
      <c r="A9" t="s">
        <v>7</v>
      </c>
      <c r="B9" s="8">
        <v>24000</v>
      </c>
      <c r="C9" s="8">
        <v>8400</v>
      </c>
      <c r="D9" s="7">
        <f t="shared" si="0"/>
        <v>4.6666666666666669E-2</v>
      </c>
      <c r="E9" t="s">
        <v>91</v>
      </c>
    </row>
    <row r="10" spans="1:26">
      <c r="A10" t="s">
        <v>9</v>
      </c>
      <c r="B10" s="8">
        <v>18000</v>
      </c>
      <c r="C10" s="8">
        <v>12000</v>
      </c>
      <c r="D10" s="7">
        <f t="shared" si="0"/>
        <v>6.6666666666666666E-2</v>
      </c>
      <c r="E10" t="s">
        <v>92</v>
      </c>
    </row>
    <row r="11" spans="1:26">
      <c r="A11" t="s">
        <v>11</v>
      </c>
      <c r="B11" s="8">
        <v>9000</v>
      </c>
      <c r="C11" s="8">
        <v>9000</v>
      </c>
      <c r="D11" s="7">
        <f t="shared" si="0"/>
        <v>0.05</v>
      </c>
      <c r="E11" t="s">
        <v>93</v>
      </c>
    </row>
    <row r="12" spans="1:26">
      <c r="A12" t="s">
        <v>13</v>
      </c>
      <c r="B12" s="8">
        <v>6000</v>
      </c>
      <c r="C12" s="8">
        <v>6000</v>
      </c>
      <c r="D12" s="7">
        <f t="shared" si="0"/>
        <v>3.3333333333333333E-2</v>
      </c>
      <c r="E12" t="s">
        <v>94</v>
      </c>
    </row>
    <row r="13" spans="1:26">
      <c r="A13" t="s">
        <v>15</v>
      </c>
      <c r="B13" s="8">
        <v>3500</v>
      </c>
      <c r="C13" s="8">
        <v>0</v>
      </c>
      <c r="D13" s="7">
        <f t="shared" si="0"/>
        <v>0</v>
      </c>
      <c r="E13" t="s">
        <v>95</v>
      </c>
    </row>
    <row r="14" spans="1:26">
      <c r="A14" t="s">
        <v>16</v>
      </c>
      <c r="B14" s="8">
        <v>4500</v>
      </c>
      <c r="C14" s="8">
        <v>0</v>
      </c>
      <c r="D14" s="7">
        <f t="shared" si="0"/>
        <v>0</v>
      </c>
      <c r="E14" t="s">
        <v>96</v>
      </c>
    </row>
    <row r="15" spans="1:26">
      <c r="A15" t="s">
        <v>17</v>
      </c>
      <c r="B15" s="8">
        <v>5500</v>
      </c>
      <c r="C15" s="8">
        <v>3600</v>
      </c>
      <c r="D15" s="7">
        <f t="shared" si="0"/>
        <v>0.02</v>
      </c>
      <c r="E15" t="s">
        <v>97</v>
      </c>
    </row>
    <row r="16" spans="1:26">
      <c r="A16" t="s">
        <v>18</v>
      </c>
      <c r="B16" s="8">
        <v>7800</v>
      </c>
      <c r="C16" s="8">
        <v>25200</v>
      </c>
      <c r="D16" s="7">
        <f t="shared" si="0"/>
        <v>0.14000000000000001</v>
      </c>
      <c r="E16" t="s">
        <v>98</v>
      </c>
    </row>
    <row r="17" spans="1:5">
      <c r="A17" t="s">
        <v>19</v>
      </c>
      <c r="B17" s="8">
        <v>51536</v>
      </c>
      <c r="C17" s="8">
        <f>MAX(0,$C$2-SUM($C$8:$C$16))</f>
        <v>61800</v>
      </c>
      <c r="D17" s="7">
        <f t="shared" si="0"/>
        <v>0.34333333333333332</v>
      </c>
      <c r="E1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"/>
  <sheetViews>
    <sheetView workbookViewId="0"/>
  </sheetViews>
  <sheetFormatPr defaultRowHeight="14.25"/>
  <cols>
    <col min="1" max="1" width="44.75" customWidth="1"/>
    <col min="2" max="2" width="23.625" customWidth="1"/>
    <col min="3" max="3" width="20" customWidth="1"/>
    <col min="4" max="5" width="18" customWidth="1"/>
    <col min="6" max="6" width="55" customWidth="1"/>
  </cols>
  <sheetData>
    <row r="1" spans="1:26" ht="18">
      <c r="A1" s="14" t="s">
        <v>22</v>
      </c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2" t="s">
        <v>23</v>
      </c>
      <c r="B2" s="5">
        <v>12500</v>
      </c>
    </row>
    <row r="3" spans="1:26">
      <c r="A3" s="3" t="s">
        <v>24</v>
      </c>
      <c r="B3" s="11">
        <v>500</v>
      </c>
      <c r="D3" t="s">
        <v>100</v>
      </c>
    </row>
    <row r="4" spans="1:26">
      <c r="A4" s="3" t="s">
        <v>25</v>
      </c>
      <c r="B4" s="11">
        <f>MAX(0,B2-B3)</f>
        <v>12000</v>
      </c>
    </row>
    <row r="5" spans="1:26">
      <c r="A5" s="2" t="s">
        <v>26</v>
      </c>
      <c r="B5" s="5">
        <v>1800</v>
      </c>
    </row>
    <row r="6" spans="1:26">
      <c r="A6" s="2" t="s">
        <v>27</v>
      </c>
      <c r="B6" s="17">
        <v>2</v>
      </c>
    </row>
    <row r="7" spans="1:26">
      <c r="A7" s="2" t="s">
        <v>28</v>
      </c>
      <c r="B7" s="5">
        <f>B5*B6</f>
        <v>3600</v>
      </c>
    </row>
    <row r="8" spans="1:26">
      <c r="A8" s="2" t="s">
        <v>29</v>
      </c>
      <c r="B8" s="2" t="s">
        <v>30</v>
      </c>
    </row>
    <row r="10" spans="1:26" ht="15">
      <c r="A10" s="1" t="s">
        <v>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</v>
      </c>
    </row>
    <row r="11" spans="1:26">
      <c r="A11" t="s">
        <v>5</v>
      </c>
      <c r="B11" s="7">
        <f>INDEX('Annual Inputs'!$D$8:$D$17,MATCH(A11,'Annual Inputs'!$A$8:$A$17,0))+5%</f>
        <v>0.35</v>
      </c>
      <c r="C11" s="8">
        <f t="shared" ref="C11:C20" si="0">$B$4*B11</f>
        <v>4200</v>
      </c>
      <c r="D11" s="8">
        <f>$B$7</f>
        <v>3600</v>
      </c>
      <c r="E11" s="8">
        <f>MAX(C11,D11)</f>
        <v>4200</v>
      </c>
      <c r="F11" t="s">
        <v>101</v>
      </c>
    </row>
    <row r="12" spans="1:26">
      <c r="A12" t="s">
        <v>7</v>
      </c>
      <c r="B12" s="7">
        <f>INDEX('Annual Inputs'!$D$8:$D$17,MATCH(A12,'Annual Inputs'!$A$8:$A$17,0))</f>
        <v>4.6666666666666669E-2</v>
      </c>
      <c r="C12" s="8">
        <f t="shared" si="0"/>
        <v>560</v>
      </c>
      <c r="D12" s="8">
        <v>0</v>
      </c>
      <c r="E12" s="8">
        <f t="shared" ref="E12:E19" si="1">C12</f>
        <v>560</v>
      </c>
      <c r="F12" t="s">
        <v>102</v>
      </c>
    </row>
    <row r="13" spans="1:26">
      <c r="A13" t="s">
        <v>9</v>
      </c>
      <c r="B13" s="7">
        <f>INDEX('Annual Inputs'!$D$8:$D$17,MATCH(A13,'Annual Inputs'!$A$8:$A$17,0))</f>
        <v>6.6666666666666666E-2</v>
      </c>
      <c r="C13" s="8">
        <f t="shared" si="0"/>
        <v>800</v>
      </c>
      <c r="D13" s="8">
        <v>0</v>
      </c>
      <c r="E13" s="8">
        <f t="shared" si="1"/>
        <v>800</v>
      </c>
      <c r="F13" t="s">
        <v>103</v>
      </c>
    </row>
    <row r="14" spans="1:26">
      <c r="A14" t="s">
        <v>11</v>
      </c>
      <c r="B14" s="7">
        <f>INDEX('Annual Inputs'!$D$8:$D$17,MATCH(A14,'Annual Inputs'!$A$8:$A$17,0))</f>
        <v>0.05</v>
      </c>
      <c r="C14" s="8">
        <f t="shared" si="0"/>
        <v>600</v>
      </c>
      <c r="D14" s="8">
        <v>0</v>
      </c>
      <c r="E14" s="8">
        <f t="shared" si="1"/>
        <v>600</v>
      </c>
      <c r="F14" t="s">
        <v>104</v>
      </c>
    </row>
    <row r="15" spans="1:26">
      <c r="A15" t="s">
        <v>13</v>
      </c>
      <c r="B15" s="7">
        <f>INDEX('Annual Inputs'!$D$8:$D$17,MATCH(A15,'Annual Inputs'!$A$8:$A$17,0))</f>
        <v>3.3333333333333333E-2</v>
      </c>
      <c r="C15" s="8">
        <f t="shared" si="0"/>
        <v>400</v>
      </c>
      <c r="D15" s="8">
        <v>0</v>
      </c>
      <c r="E15" s="8">
        <f t="shared" si="1"/>
        <v>400</v>
      </c>
      <c r="F15" t="s">
        <v>105</v>
      </c>
    </row>
    <row r="16" spans="1:26">
      <c r="A16" t="s">
        <v>15</v>
      </c>
      <c r="B16" s="7">
        <f>INDEX('Annual Inputs'!$D$8:$D$17,MATCH(A16,'Annual Inputs'!$A$8:$A$17,0))</f>
        <v>0</v>
      </c>
      <c r="C16" s="8">
        <f t="shared" si="0"/>
        <v>0</v>
      </c>
      <c r="D16" s="8">
        <v>0</v>
      </c>
      <c r="E16" s="8">
        <f t="shared" si="1"/>
        <v>0</v>
      </c>
      <c r="F16" t="s">
        <v>106</v>
      </c>
    </row>
    <row r="17" spans="1:6">
      <c r="A17" t="s">
        <v>16</v>
      </c>
      <c r="B17" s="7">
        <f>INDEX('Annual Inputs'!$D$8:$D$17,MATCH(A17,'Annual Inputs'!$A$8:$A$17,0))</f>
        <v>0</v>
      </c>
      <c r="C17" s="8">
        <f t="shared" si="0"/>
        <v>0</v>
      </c>
      <c r="D17" s="8">
        <v>0</v>
      </c>
      <c r="E17" s="8">
        <f t="shared" si="1"/>
        <v>0</v>
      </c>
      <c r="F17" t="s">
        <v>96</v>
      </c>
    </row>
    <row r="18" spans="1:6">
      <c r="A18" t="s">
        <v>17</v>
      </c>
      <c r="B18" s="7">
        <f>INDEX('Annual Inputs'!$D$8:$D$17,MATCH(A18,'Annual Inputs'!$A$8:$A$17,0))</f>
        <v>0.02</v>
      </c>
      <c r="C18" s="8">
        <f t="shared" si="0"/>
        <v>240</v>
      </c>
      <c r="D18" s="8">
        <v>0</v>
      </c>
      <c r="E18" s="8">
        <f t="shared" si="1"/>
        <v>240</v>
      </c>
      <c r="F18" t="s">
        <v>107</v>
      </c>
    </row>
    <row r="19" spans="1:6">
      <c r="A19" t="s">
        <v>18</v>
      </c>
      <c r="B19" s="7">
        <f>INDEX('Annual Inputs'!$D$8:$D$17,MATCH(A19,'Annual Inputs'!$A$8:$A$17,0))</f>
        <v>0.14000000000000001</v>
      </c>
      <c r="C19" s="8">
        <f t="shared" si="0"/>
        <v>1680.0000000000002</v>
      </c>
      <c r="D19" s="8">
        <v>0</v>
      </c>
      <c r="E19" s="8">
        <f t="shared" si="1"/>
        <v>1680.0000000000002</v>
      </c>
      <c r="F19" t="s">
        <v>108</v>
      </c>
    </row>
    <row r="20" spans="1:6">
      <c r="A20" t="s">
        <v>19</v>
      </c>
      <c r="B20" s="7">
        <f>MAX(0,1-SUM(B11:B19))</f>
        <v>0.29333333333333333</v>
      </c>
      <c r="C20" s="8">
        <f t="shared" si="0"/>
        <v>3520</v>
      </c>
      <c r="D20" s="8">
        <v>0</v>
      </c>
      <c r="E20" s="8">
        <f>MAX(0,$B$4-SUM(E11:E19))</f>
        <v>3520</v>
      </c>
      <c r="F20" t="s">
        <v>109</v>
      </c>
    </row>
    <row r="21" spans="1:6">
      <c r="C21" s="8"/>
      <c r="D21" s="8"/>
      <c r="E21" s="8"/>
    </row>
    <row r="22" spans="1:6">
      <c r="A22" s="4" t="s">
        <v>35</v>
      </c>
      <c r="B22" s="4"/>
      <c r="C22" s="12"/>
      <c r="D22" s="12"/>
      <c r="E22" s="12">
        <f>SUM(E11:E20)</f>
        <v>12000</v>
      </c>
    </row>
    <row r="23" spans="1:6">
      <c r="A23" s="4" t="s">
        <v>36</v>
      </c>
      <c r="B23" s="4"/>
      <c r="C23" s="12"/>
      <c r="D23" s="12"/>
      <c r="E23" s="12">
        <f>$B$4-E22</f>
        <v>0</v>
      </c>
      <c r="F2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6"/>
  <sheetViews>
    <sheetView tabSelected="1" zoomScale="70" zoomScaleNormal="70" workbookViewId="0">
      <selection activeCell="D14" sqref="D14"/>
    </sheetView>
  </sheetViews>
  <sheetFormatPr defaultRowHeight="14.25"/>
  <cols>
    <col min="1" max="1" width="18.625" customWidth="1"/>
    <col min="2" max="2" width="14" customWidth="1"/>
    <col min="3" max="3" width="16" customWidth="1"/>
    <col min="4" max="4" width="29.75" customWidth="1"/>
    <col min="5" max="5" width="16" customWidth="1"/>
    <col min="6" max="6" width="15" customWidth="1"/>
    <col min="7" max="7" width="30.125" customWidth="1"/>
    <col min="8" max="8" width="14" customWidth="1"/>
    <col min="9" max="9" width="21" customWidth="1"/>
    <col min="10" max="10" width="24.75" customWidth="1"/>
    <col min="11" max="11" width="9" customWidth="1"/>
  </cols>
  <sheetData>
    <row r="1" spans="1:25" ht="20.25">
      <c r="A1" s="38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>
      <c r="A2" s="39" t="s">
        <v>111</v>
      </c>
      <c r="B2" s="39"/>
      <c r="C2" s="39"/>
      <c r="D2" s="39"/>
      <c r="E2" s="39"/>
      <c r="F2" s="39"/>
      <c r="G2" s="39">
        <f t="shared" ref="G2" si="0">D2-F2</f>
        <v>0</v>
      </c>
      <c r="H2" s="39"/>
      <c r="I2" s="39"/>
      <c r="J2" s="39"/>
    </row>
    <row r="4" spans="1:25" ht="15">
      <c r="A4" s="18" t="s">
        <v>38</v>
      </c>
      <c r="B4" s="18"/>
      <c r="C4" s="18"/>
      <c r="D4" s="18" t="s">
        <v>39</v>
      </c>
      <c r="E4" s="26"/>
      <c r="F4" s="25"/>
      <c r="G4" s="18" t="s">
        <v>40</v>
      </c>
      <c r="H4" s="26"/>
      <c r="I4" s="18"/>
      <c r="J4" s="18"/>
    </row>
    <row r="5" spans="1:25" ht="15">
      <c r="A5" s="30" t="s">
        <v>41</v>
      </c>
      <c r="B5" s="23">
        <f>IFERROR(LOOKUP(2,1/((C10:C33&lt;&gt;"")+(D10:D33&lt;&gt;"")&gt;0),A10:A33),0)</f>
        <v>12</v>
      </c>
      <c r="D5" s="30" t="s">
        <v>42</v>
      </c>
      <c r="E5" s="24">
        <f>IFERROR(SUM(C10:C33)/COUNT(C10:C33)*24,0)</f>
        <v>73540</v>
      </c>
      <c r="F5" s="30"/>
      <c r="G5" s="30" t="s">
        <v>43</v>
      </c>
      <c r="H5" s="24">
        <f>IFERROR(SUM(D10:D33)/COUNT(D10:D33)*24,0)</f>
        <v>28360</v>
      </c>
      <c r="I5" s="30"/>
      <c r="J5" s="30"/>
    </row>
    <row r="6" spans="1:25">
      <c r="A6" s="30" t="s">
        <v>44</v>
      </c>
      <c r="B6" s="22">
        <f>E5+H5</f>
        <v>101900</v>
      </c>
      <c r="C6" s="30"/>
      <c r="D6" s="30"/>
      <c r="E6" s="22">
        <f>IFERROR(AVERAGE(C10:C33),0)</f>
        <v>3064.1666666666665</v>
      </c>
      <c r="F6" s="30"/>
      <c r="G6" s="30"/>
      <c r="H6" s="22">
        <f>IFERROR(AVERAGE(D10:D33),0)</f>
        <v>1181.6666666666667</v>
      </c>
      <c r="I6" s="30"/>
      <c r="J6" s="30"/>
    </row>
    <row r="9" spans="1:25" ht="15">
      <c r="A9" s="19" t="s">
        <v>112</v>
      </c>
      <c r="B9" s="19" t="s">
        <v>45</v>
      </c>
      <c r="C9" s="19" t="s">
        <v>46</v>
      </c>
      <c r="D9" s="19" t="s">
        <v>47</v>
      </c>
      <c r="E9" s="19" t="s">
        <v>48</v>
      </c>
      <c r="F9" s="19" t="s">
        <v>49</v>
      </c>
      <c r="G9" s="19" t="s">
        <v>50</v>
      </c>
      <c r="H9" s="19" t="s">
        <v>51</v>
      </c>
      <c r="I9" s="19" t="s">
        <v>52</v>
      </c>
      <c r="J9" s="19" t="s">
        <v>53</v>
      </c>
    </row>
    <row r="10" spans="1:25">
      <c r="A10" s="31">
        <v>1</v>
      </c>
      <c r="B10" s="32">
        <v>46029</v>
      </c>
      <c r="C10" s="20">
        <v>1475</v>
      </c>
      <c r="D10" s="20">
        <v>575</v>
      </c>
      <c r="E10" s="33">
        <f t="shared" ref="E10:E21" si="1">IF(COUNTA(C10:D10)=0,"",N(C10)+N(D10))</f>
        <v>2050</v>
      </c>
      <c r="F10" s="33">
        <f>IF(COUNTA($C$10:C10)=0,"",SUM($C$10:C10))</f>
        <v>1475</v>
      </c>
      <c r="G10" s="33">
        <f>IF(COUNT($C$10:C10)=0,"",AVERAGE($C$10:C10)*24)</f>
        <v>35400</v>
      </c>
      <c r="H10" s="33">
        <f>IF(COUNTA($D$10:D10)=0,"",SUM($D$10:D10))</f>
        <v>575</v>
      </c>
      <c r="I10" s="33">
        <f>IF(COUNT($D$10:D10)=0,"",AVERAGE($D$10:D10)*24)</f>
        <v>13800</v>
      </c>
      <c r="J10" s="33">
        <f>IF(COUNTA(G10:I10)=0,"",N(G10)+N(I10))</f>
        <v>49200</v>
      </c>
    </row>
    <row r="11" spans="1:25">
      <c r="A11" s="31">
        <v>2</v>
      </c>
      <c r="B11" s="32">
        <v>46044</v>
      </c>
      <c r="C11" s="20">
        <v>1730</v>
      </c>
      <c r="D11" s="20">
        <v>670</v>
      </c>
      <c r="E11" s="33">
        <f t="shared" si="1"/>
        <v>2400</v>
      </c>
      <c r="F11" s="33">
        <f>IF(COUNTA($C$10:C11)=0,"",SUM($C$10:C11))</f>
        <v>3205</v>
      </c>
      <c r="G11" s="33">
        <f>IF(COUNT($C$10:C11)=0,"",AVERAGE($C$10:C11)*24)</f>
        <v>38460</v>
      </c>
      <c r="H11" s="33">
        <f>IF(COUNTA($D$10:D11)=0,"",SUM($D$10:D11))</f>
        <v>1245</v>
      </c>
      <c r="I11" s="33">
        <f>IF(COUNT($D$10:D11)=0,"",AVERAGE($D$10:D11)*24)</f>
        <v>14940</v>
      </c>
      <c r="J11" s="33">
        <f t="shared" ref="J11:J33" si="2">IF(COUNTA(G11:I11)=0,"",N(G11)+N(I11))</f>
        <v>53400</v>
      </c>
    </row>
    <row r="12" spans="1:25">
      <c r="A12" s="31">
        <v>3</v>
      </c>
      <c r="B12" s="32">
        <v>46060</v>
      </c>
      <c r="C12" s="20">
        <v>2160</v>
      </c>
      <c r="D12" s="20">
        <v>840</v>
      </c>
      <c r="E12" s="33">
        <f t="shared" si="1"/>
        <v>3000</v>
      </c>
      <c r="F12" s="33">
        <f>IF(COUNTA($C$10:C12)=0,"",SUM($C$10:C12))</f>
        <v>5365</v>
      </c>
      <c r="G12" s="33">
        <f>IF(COUNT($C$10:C12)=0,"",AVERAGE($C$10:C12)*24)</f>
        <v>42920</v>
      </c>
      <c r="H12" s="33">
        <f>IF(COUNTA($D$10:D12)=0,"",SUM($D$10:D12))</f>
        <v>2085</v>
      </c>
      <c r="I12" s="33">
        <f>IF(COUNT($D$10:D12)=0,"",AVERAGE($D$10:D12)*24)</f>
        <v>16680</v>
      </c>
      <c r="J12" s="33">
        <f t="shared" si="2"/>
        <v>59600</v>
      </c>
    </row>
    <row r="13" spans="1:25">
      <c r="A13" s="31">
        <v>4</v>
      </c>
      <c r="B13" s="32">
        <v>46075</v>
      </c>
      <c r="C13" s="20">
        <v>2210</v>
      </c>
      <c r="D13" s="20">
        <v>740</v>
      </c>
      <c r="E13" s="33">
        <f t="shared" si="1"/>
        <v>2950</v>
      </c>
      <c r="F13" s="33">
        <f>IF(COUNTA($C$10:C13)=0,"",SUM($C$10:C13))</f>
        <v>7575</v>
      </c>
      <c r="G13" s="33">
        <f>IF(COUNT($C$10:C13)=0,"",AVERAGE($C$10:C13)*24)</f>
        <v>45450</v>
      </c>
      <c r="H13" s="33">
        <f>IF(COUNTA($D$10:D13)=0,"",SUM($D$10:D13))</f>
        <v>2825</v>
      </c>
      <c r="I13" s="33">
        <f>IF(COUNT($D$10:D13)=0,"",AVERAGE($D$10:D13)*24)</f>
        <v>16950</v>
      </c>
      <c r="J13" s="33">
        <f t="shared" si="2"/>
        <v>62400</v>
      </c>
    </row>
    <row r="14" spans="1:25">
      <c r="A14" s="31">
        <v>5</v>
      </c>
      <c r="B14" s="32">
        <v>46088</v>
      </c>
      <c r="C14" s="20">
        <v>2810</v>
      </c>
      <c r="D14" s="20">
        <v>1090</v>
      </c>
      <c r="E14" s="33">
        <f t="shared" si="1"/>
        <v>3900</v>
      </c>
      <c r="F14" s="33">
        <f>IF(COUNTA($C$10:C14)=0,"",SUM($C$10:C14))</f>
        <v>10385</v>
      </c>
      <c r="G14" s="33">
        <f>IF(COUNT($C$10:C14)=0,"",AVERAGE($C$10:C14)*24)</f>
        <v>49848</v>
      </c>
      <c r="H14" s="33">
        <f>IF(COUNTA($D$10:D14)=0,"",SUM($D$10:D14))</f>
        <v>3915</v>
      </c>
      <c r="I14" s="33">
        <f>IF(COUNT($D$10:D14)=0,"",AVERAGE($D$10:D14)*24)</f>
        <v>18792</v>
      </c>
      <c r="J14" s="33">
        <f t="shared" si="2"/>
        <v>68640</v>
      </c>
    </row>
    <row r="15" spans="1:25">
      <c r="A15" s="31">
        <v>6</v>
      </c>
      <c r="B15" s="32">
        <v>46103</v>
      </c>
      <c r="C15" s="20">
        <v>3095</v>
      </c>
      <c r="D15" s="20">
        <v>1205</v>
      </c>
      <c r="E15" s="33">
        <f t="shared" si="1"/>
        <v>4300</v>
      </c>
      <c r="F15" s="33">
        <f>IF(COUNTA($C$10:C15)=0,"",SUM($C$10:C15))</f>
        <v>13480</v>
      </c>
      <c r="G15" s="33">
        <f>IF(COUNT($C$10:C15)=0,"",AVERAGE($C$10:C15)*24)</f>
        <v>53920</v>
      </c>
      <c r="H15" s="33">
        <f>IF(COUNTA($D$10:D15)=0,"",SUM($D$10:D15))</f>
        <v>5120</v>
      </c>
      <c r="I15" s="33">
        <f>IF(COUNT($D$10:D15)=0,"",AVERAGE($D$10:D15)*24)</f>
        <v>20480</v>
      </c>
      <c r="J15" s="33">
        <f t="shared" si="2"/>
        <v>74400</v>
      </c>
    </row>
    <row r="16" spans="1:25">
      <c r="A16" s="31">
        <v>7</v>
      </c>
      <c r="B16" s="32">
        <v>46119</v>
      </c>
      <c r="C16" s="20">
        <v>3275</v>
      </c>
      <c r="D16" s="20">
        <v>1275</v>
      </c>
      <c r="E16" s="33">
        <f t="shared" si="1"/>
        <v>4550</v>
      </c>
      <c r="F16" s="33">
        <f>IF(COUNTA($C$10:C16)=0,"",SUM($C$10:C16))</f>
        <v>16755</v>
      </c>
      <c r="G16" s="33">
        <f>IF(COUNT($C$10:C16)=0,"",AVERAGE($C$10:C16)*24)</f>
        <v>57445.714285714283</v>
      </c>
      <c r="H16" s="33">
        <f>IF(COUNTA($D$10:D16)=0,"",SUM($D$10:D16))</f>
        <v>6395</v>
      </c>
      <c r="I16" s="33">
        <f>IF(COUNT($D$10:D16)=0,"",AVERAGE($D$10:D16)*24)</f>
        <v>21925.714285714286</v>
      </c>
      <c r="J16" s="33">
        <f t="shared" si="2"/>
        <v>79371.428571428565</v>
      </c>
    </row>
    <row r="17" spans="1:10">
      <c r="A17" s="31">
        <v>8</v>
      </c>
      <c r="B17" s="32">
        <v>46134</v>
      </c>
      <c r="C17" s="20">
        <v>3600</v>
      </c>
      <c r="D17" s="20">
        <v>1400</v>
      </c>
      <c r="E17" s="33">
        <f t="shared" si="1"/>
        <v>5000</v>
      </c>
      <c r="F17" s="33">
        <f>IF(COUNTA($C$10:C17)=0,"",SUM($C$10:C17))</f>
        <v>20355</v>
      </c>
      <c r="G17" s="33">
        <f>IF(COUNT($C$10:C17)=0,"",AVERAGE($C$10:C17)*24)</f>
        <v>61065</v>
      </c>
      <c r="H17" s="33">
        <f>IF(COUNTA($D$10:D17)=0,"",SUM($D$10:D17))</f>
        <v>7795</v>
      </c>
      <c r="I17" s="33">
        <f>IF(COUNT($D$10:D17)=0,"",AVERAGE($D$10:D17)*24)</f>
        <v>23385</v>
      </c>
      <c r="J17" s="33">
        <f t="shared" si="2"/>
        <v>84450</v>
      </c>
    </row>
    <row r="18" spans="1:10">
      <c r="A18" s="31">
        <v>9</v>
      </c>
      <c r="B18" s="32">
        <v>46149</v>
      </c>
      <c r="C18" s="20">
        <v>3780</v>
      </c>
      <c r="D18" s="20">
        <v>1470</v>
      </c>
      <c r="E18" s="33">
        <f t="shared" si="1"/>
        <v>5250</v>
      </c>
      <c r="F18" s="33">
        <f>IF(COUNTA($C$10:C18)=0,"",SUM($C$10:C18))</f>
        <v>24135</v>
      </c>
      <c r="G18" s="33">
        <f>IF(COUNT($C$10:C18)=0,"",AVERAGE($C$10:C18)*24)</f>
        <v>64360</v>
      </c>
      <c r="H18" s="33">
        <f>IF(COUNTA($D$10:D18)=0,"",SUM($D$10:D18))</f>
        <v>9265</v>
      </c>
      <c r="I18" s="33">
        <f>IF(COUNT($D$10:D18)=0,"",AVERAGE($D$10:D18)*24)</f>
        <v>24706.666666666664</v>
      </c>
      <c r="J18" s="33">
        <f t="shared" si="2"/>
        <v>89066.666666666657</v>
      </c>
    </row>
    <row r="19" spans="1:10">
      <c r="A19" s="31">
        <v>10</v>
      </c>
      <c r="B19" s="32">
        <v>46164</v>
      </c>
      <c r="C19" s="20">
        <v>4030</v>
      </c>
      <c r="D19" s="20">
        <v>1570</v>
      </c>
      <c r="E19" s="33">
        <f t="shared" si="1"/>
        <v>5600</v>
      </c>
      <c r="F19" s="33">
        <f>IF(COUNTA($C$10:C19)=0,"",SUM($C$10:C19))</f>
        <v>28165</v>
      </c>
      <c r="G19" s="33">
        <f>IF(COUNT($C$10:C19)=0,"",AVERAGE($C$10:C19)*24)</f>
        <v>67596</v>
      </c>
      <c r="H19" s="33">
        <f>IF(COUNTA($D$10:D19)=0,"",SUM($D$10:D19))</f>
        <v>10835</v>
      </c>
      <c r="I19" s="33">
        <f>IF(COUNT($D$10:D19)=0,"",AVERAGE($D$10:D19)*24)</f>
        <v>26004</v>
      </c>
      <c r="J19" s="33">
        <f t="shared" si="2"/>
        <v>93600</v>
      </c>
    </row>
    <row r="20" spans="1:10">
      <c r="A20" s="31">
        <v>11</v>
      </c>
      <c r="B20" s="32">
        <v>46180</v>
      </c>
      <c r="C20" s="20">
        <v>4175</v>
      </c>
      <c r="D20" s="20">
        <v>1625</v>
      </c>
      <c r="E20" s="33">
        <f t="shared" si="1"/>
        <v>5800</v>
      </c>
      <c r="F20" s="33">
        <f>IF(COUNTA($C$10:C20)=0,"",SUM($C$10:C20))</f>
        <v>32340</v>
      </c>
      <c r="G20" s="33">
        <f>IF(COUNT($C$10:C20)=0,"",AVERAGE($C$10:C20)*24)</f>
        <v>70560</v>
      </c>
      <c r="H20" s="33">
        <f>IF(COUNTA($D$10:D20)=0,"",SUM($D$10:D20))</f>
        <v>12460</v>
      </c>
      <c r="I20" s="33">
        <f>IF(COUNT($D$10:D20)=0,"",AVERAGE($D$10:D20)*24)</f>
        <v>27185.454545454544</v>
      </c>
      <c r="J20" s="33">
        <f t="shared" si="2"/>
        <v>97745.454545454544</v>
      </c>
    </row>
    <row r="21" spans="1:10">
      <c r="A21" s="31">
        <v>12</v>
      </c>
      <c r="B21" s="32">
        <v>46195</v>
      </c>
      <c r="C21" s="20">
        <v>4430</v>
      </c>
      <c r="D21" s="20">
        <v>1720</v>
      </c>
      <c r="E21" s="33">
        <f t="shared" si="1"/>
        <v>6150</v>
      </c>
      <c r="F21" s="33">
        <f>IF(COUNTA($C$10:C21)=0,"",SUM($C$10:C21))</f>
        <v>36770</v>
      </c>
      <c r="G21" s="33">
        <f>IF(COUNT($C$10:C21)=0,"",AVERAGE($C$10:C21)*24)</f>
        <v>73540</v>
      </c>
      <c r="H21" s="33">
        <f>IF(COUNTA($D$10:D21)=0,"",SUM($D$10:D21))</f>
        <v>14180</v>
      </c>
      <c r="I21" s="33">
        <f>IF(COUNT($D$10:D21)=0,"",AVERAGE($D$10:D21)*24)</f>
        <v>28360</v>
      </c>
      <c r="J21" s="33">
        <f t="shared" si="2"/>
        <v>101900</v>
      </c>
    </row>
    <row r="22" spans="1:10">
      <c r="A22" s="31">
        <v>13</v>
      </c>
      <c r="B22" s="32">
        <v>46210</v>
      </c>
      <c r="C22" s="20"/>
      <c r="D22" s="20"/>
      <c r="E22" s="33" t="str">
        <f t="shared" ref="E22:E33" si="3">IF(COUNTA(C22:D22)=0,"",N(C22)+N(D22))</f>
        <v/>
      </c>
      <c r="F22" s="33">
        <f>IF(COUNTA($C$10:C22)=0,"",SUM($C$10:C22))</f>
        <v>36770</v>
      </c>
      <c r="G22" s="33">
        <f>IF(COUNT($C$10:C22)=0,"",AVERAGE($C$10:C22)*24)</f>
        <v>73540</v>
      </c>
      <c r="H22" s="33">
        <f>IF(COUNTA($D$10:D22)=0,"",SUM($D$10:D22))</f>
        <v>14180</v>
      </c>
      <c r="I22" s="33">
        <f>IF(COUNT($D$10:D22)=0,"",AVERAGE($D$10:D22)*24)</f>
        <v>28360</v>
      </c>
      <c r="J22" s="33">
        <f t="shared" si="2"/>
        <v>101900</v>
      </c>
    </row>
    <row r="23" spans="1:10">
      <c r="A23" s="31">
        <v>14</v>
      </c>
      <c r="B23" s="32">
        <v>46225</v>
      </c>
      <c r="C23" s="20"/>
      <c r="D23" s="20"/>
      <c r="E23" s="33" t="str">
        <f t="shared" si="3"/>
        <v/>
      </c>
      <c r="F23" s="33">
        <f>IF(COUNTA($C$10:C23)=0,"",SUM($C$10:C23))</f>
        <v>36770</v>
      </c>
      <c r="G23" s="33">
        <f>IF(COUNT($C$10:C23)=0,"",AVERAGE($C$10:C23)*24)</f>
        <v>73540</v>
      </c>
      <c r="H23" s="33">
        <f>IF(COUNTA($D$10:D23)=0,"",SUM($D$10:D23))</f>
        <v>14180</v>
      </c>
      <c r="I23" s="33">
        <f>IF(COUNT($D$10:D23)=0,"",AVERAGE($D$10:D23)*24)</f>
        <v>28360</v>
      </c>
      <c r="J23" s="33">
        <f t="shared" si="2"/>
        <v>101900</v>
      </c>
    </row>
    <row r="24" spans="1:10">
      <c r="A24" s="31">
        <v>15</v>
      </c>
      <c r="B24" s="32">
        <v>46241</v>
      </c>
      <c r="C24" s="20"/>
      <c r="D24" s="20"/>
      <c r="E24" s="33" t="str">
        <f t="shared" si="3"/>
        <v/>
      </c>
      <c r="F24" s="33">
        <f>IF(COUNTA($C$10:C24)=0,"",SUM($C$10:C24))</f>
        <v>36770</v>
      </c>
      <c r="G24" s="33">
        <f>IF(COUNT($C$10:C24)=0,"",AVERAGE($C$10:C24)*24)</f>
        <v>73540</v>
      </c>
      <c r="H24" s="33">
        <f>IF(COUNTA($D$10:D24)=0,"",SUM($D$10:D24))</f>
        <v>14180</v>
      </c>
      <c r="I24" s="33">
        <f>IF(COUNT($D$10:D24)=0,"",AVERAGE($D$10:D24)*24)</f>
        <v>28360</v>
      </c>
      <c r="J24" s="33">
        <f t="shared" si="2"/>
        <v>101900</v>
      </c>
    </row>
    <row r="25" spans="1:10">
      <c r="A25" s="31">
        <v>16</v>
      </c>
      <c r="B25" s="32">
        <v>46256</v>
      </c>
      <c r="C25" s="20"/>
      <c r="D25" s="20"/>
      <c r="E25" s="33" t="str">
        <f t="shared" si="3"/>
        <v/>
      </c>
      <c r="F25" s="33">
        <f>IF(COUNTA($C$10:C25)=0,"",SUM($C$10:C25))</f>
        <v>36770</v>
      </c>
      <c r="G25" s="33">
        <f>IF(COUNT($C$10:C25)=0,"",AVERAGE($C$10:C25)*24)</f>
        <v>73540</v>
      </c>
      <c r="H25" s="33">
        <f>IF(COUNTA($D$10:D25)=0,"",SUM($D$10:D25))</f>
        <v>14180</v>
      </c>
      <c r="I25" s="33">
        <f>IF(COUNT($D$10:D25)=0,"",AVERAGE($D$10:D25)*24)</f>
        <v>28360</v>
      </c>
      <c r="J25" s="33">
        <f t="shared" si="2"/>
        <v>101900</v>
      </c>
    </row>
    <row r="26" spans="1:10">
      <c r="A26" s="31">
        <v>17</v>
      </c>
      <c r="B26" s="32">
        <v>46272</v>
      </c>
      <c r="C26" s="20"/>
      <c r="D26" s="20"/>
      <c r="E26" s="33" t="str">
        <f t="shared" si="3"/>
        <v/>
      </c>
      <c r="F26" s="33">
        <f>IF(COUNTA($C$10:C26)=0,"",SUM($C$10:C26))</f>
        <v>36770</v>
      </c>
      <c r="G26" s="33">
        <f>IF(COUNT($C$10:C26)=0,"",AVERAGE($C$10:C26)*24)</f>
        <v>73540</v>
      </c>
      <c r="H26" s="33">
        <f>IF(COUNTA($D$10:D26)=0,"",SUM($D$10:D26))</f>
        <v>14180</v>
      </c>
      <c r="I26" s="33">
        <f>IF(COUNT($D$10:D26)=0,"",AVERAGE($D$10:D26)*24)</f>
        <v>28360</v>
      </c>
      <c r="J26" s="33">
        <f t="shared" si="2"/>
        <v>101900</v>
      </c>
    </row>
    <row r="27" spans="1:10">
      <c r="A27" s="31">
        <v>18</v>
      </c>
      <c r="B27" s="32">
        <v>46287</v>
      </c>
      <c r="C27" s="20"/>
      <c r="D27" s="20"/>
      <c r="E27" s="33" t="str">
        <f t="shared" si="3"/>
        <v/>
      </c>
      <c r="F27" s="33">
        <f>IF(COUNTA($C$10:C27)=0,"",SUM($C$10:C27))</f>
        <v>36770</v>
      </c>
      <c r="G27" s="33">
        <f>IF(COUNT($C$10:C27)=0,"",AVERAGE($C$10:C27)*24)</f>
        <v>73540</v>
      </c>
      <c r="H27" s="33">
        <f>IF(COUNTA($D$10:D27)=0,"",SUM($D$10:D27))</f>
        <v>14180</v>
      </c>
      <c r="I27" s="33">
        <f>IF(COUNT($D$10:D27)=0,"",AVERAGE($D$10:D27)*24)</f>
        <v>28360</v>
      </c>
      <c r="J27" s="33">
        <f t="shared" si="2"/>
        <v>101900</v>
      </c>
    </row>
    <row r="28" spans="1:10">
      <c r="A28" s="31">
        <v>19</v>
      </c>
      <c r="B28" s="32">
        <v>46302</v>
      </c>
      <c r="C28" s="20"/>
      <c r="D28" s="20"/>
      <c r="E28" s="33" t="str">
        <f t="shared" si="3"/>
        <v/>
      </c>
      <c r="F28" s="33">
        <f>IF(COUNTA($C$10:C28)=0,"",SUM($C$10:C28))</f>
        <v>36770</v>
      </c>
      <c r="G28" s="33">
        <f>IF(COUNT($C$10:C28)=0,"",AVERAGE($C$10:C28)*24)</f>
        <v>73540</v>
      </c>
      <c r="H28" s="33">
        <f>IF(COUNTA($D$10:D28)=0,"",SUM($D$10:D28))</f>
        <v>14180</v>
      </c>
      <c r="I28" s="33">
        <f>IF(COUNT($D$10:D28)=0,"",AVERAGE($D$10:D28)*24)</f>
        <v>28360</v>
      </c>
      <c r="J28" s="33">
        <f t="shared" si="2"/>
        <v>101900</v>
      </c>
    </row>
    <row r="29" spans="1:10">
      <c r="A29" s="31">
        <v>20</v>
      </c>
      <c r="B29" s="32">
        <v>46317</v>
      </c>
      <c r="C29" s="20"/>
      <c r="D29" s="20"/>
      <c r="E29" s="33" t="str">
        <f t="shared" si="3"/>
        <v/>
      </c>
      <c r="F29" s="33">
        <f>IF(COUNTA($C$10:C29)=0,"",SUM($C$10:C29))</f>
        <v>36770</v>
      </c>
      <c r="G29" s="33">
        <f>IF(COUNT($C$10:C29)=0,"",AVERAGE($C$10:C29)*24)</f>
        <v>73540</v>
      </c>
      <c r="H29" s="33">
        <f>IF(COUNTA($D$10:D29)=0,"",SUM($D$10:D29))</f>
        <v>14180</v>
      </c>
      <c r="I29" s="33">
        <f>IF(COUNT($D$10:D29)=0,"",AVERAGE($D$10:D29)*24)</f>
        <v>28360</v>
      </c>
      <c r="J29" s="33">
        <f t="shared" si="2"/>
        <v>101900</v>
      </c>
    </row>
    <row r="30" spans="1:10">
      <c r="A30" s="31">
        <v>21</v>
      </c>
      <c r="B30" s="32">
        <v>46333</v>
      </c>
      <c r="C30" s="20"/>
      <c r="D30" s="20"/>
      <c r="E30" s="33" t="str">
        <f t="shared" si="3"/>
        <v/>
      </c>
      <c r="F30" s="33">
        <f>IF(COUNTA($C$10:C30)=0,"",SUM($C$10:C30))</f>
        <v>36770</v>
      </c>
      <c r="G30" s="33">
        <f>IF(COUNT($C$10:C30)=0,"",AVERAGE($C$10:C30)*24)</f>
        <v>73540</v>
      </c>
      <c r="H30" s="33">
        <f>IF(COUNTA($D$10:D30)=0,"",SUM($D$10:D30))</f>
        <v>14180</v>
      </c>
      <c r="I30" s="33">
        <f>IF(COUNT($D$10:D30)=0,"",AVERAGE($D$10:D30)*24)</f>
        <v>28360</v>
      </c>
      <c r="J30" s="33">
        <f t="shared" si="2"/>
        <v>101900</v>
      </c>
    </row>
    <row r="31" spans="1:10">
      <c r="A31" s="31">
        <v>22</v>
      </c>
      <c r="B31" s="32">
        <v>46348</v>
      </c>
      <c r="C31" s="20"/>
      <c r="D31" s="20"/>
      <c r="E31" s="33" t="str">
        <f t="shared" si="3"/>
        <v/>
      </c>
      <c r="F31" s="33">
        <f>IF(COUNTA($C$10:C31)=0,"",SUM($C$10:C31))</f>
        <v>36770</v>
      </c>
      <c r="G31" s="33">
        <f>IF(COUNT($C$10:C31)=0,"",AVERAGE($C$10:C31)*24)</f>
        <v>73540</v>
      </c>
      <c r="H31" s="33">
        <f>IF(COUNTA($D$10:D31)=0,"",SUM($D$10:D31))</f>
        <v>14180</v>
      </c>
      <c r="I31" s="33">
        <f>IF(COUNT($D$10:D31)=0,"",AVERAGE($D$10:D31)*24)</f>
        <v>28360</v>
      </c>
      <c r="J31" s="33">
        <f t="shared" si="2"/>
        <v>101900</v>
      </c>
    </row>
    <row r="32" spans="1:10">
      <c r="A32" s="31">
        <v>23</v>
      </c>
      <c r="B32" s="32">
        <v>46363</v>
      </c>
      <c r="C32" s="20"/>
      <c r="D32" s="20"/>
      <c r="E32" s="33" t="str">
        <f t="shared" si="3"/>
        <v/>
      </c>
      <c r="F32" s="33">
        <f>IF(COUNTA($C$10:C32)=0,"",SUM($C$10:C32))</f>
        <v>36770</v>
      </c>
      <c r="G32" s="33">
        <f>IF(COUNT($C$10:C32)=0,"",AVERAGE($C$10:C32)*24)</f>
        <v>73540</v>
      </c>
      <c r="H32" s="33">
        <f>IF(COUNTA($D$10:D32)=0,"",SUM($D$10:D32))</f>
        <v>14180</v>
      </c>
      <c r="I32" s="33">
        <f>IF(COUNT($D$10:D32)=0,"",AVERAGE($D$10:D32)*24)</f>
        <v>28360</v>
      </c>
      <c r="J32" s="33">
        <f t="shared" si="2"/>
        <v>101900</v>
      </c>
    </row>
    <row r="33" spans="1:10">
      <c r="A33" s="31">
        <v>24</v>
      </c>
      <c r="B33" s="32">
        <v>46378</v>
      </c>
      <c r="C33" s="20"/>
      <c r="D33" s="20"/>
      <c r="E33" s="33" t="str">
        <f t="shared" si="3"/>
        <v/>
      </c>
      <c r="F33" s="33">
        <f>IF(COUNTA($C$10:C33)=0,"",SUM($C$10:C33))</f>
        <v>36770</v>
      </c>
      <c r="G33" s="33">
        <f>IF(COUNT($C$10:C33)=0,"",AVERAGE($C$10:C33)*24)</f>
        <v>73540</v>
      </c>
      <c r="H33" s="33">
        <f>IF(COUNTA($D$10:D33)=0,"",SUM($D$10:D33))</f>
        <v>14180</v>
      </c>
      <c r="I33" s="33">
        <f>IF(COUNT($D$10:D33)=0,"",AVERAGE($D$10:D33)*24)</f>
        <v>28360</v>
      </c>
      <c r="J33" s="33">
        <f t="shared" si="2"/>
        <v>101900</v>
      </c>
    </row>
    <row r="34" spans="1:10">
      <c r="B34" s="13"/>
      <c r="C34" s="21"/>
      <c r="D34" s="21"/>
      <c r="E34" s="21"/>
      <c r="F34" s="21"/>
      <c r="G34" s="21"/>
      <c r="H34" s="21"/>
      <c r="I34" s="21"/>
      <c r="J34" s="21"/>
    </row>
    <row r="35" spans="1:10" ht="15">
      <c r="A35" s="18" t="s">
        <v>113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>
      <c r="A36" s="30" t="s">
        <v>114</v>
      </c>
      <c r="B36" s="30" t="s">
        <v>115</v>
      </c>
      <c r="C36" s="30"/>
      <c r="D36" s="30"/>
      <c r="E36" s="30"/>
      <c r="F36" s="30"/>
      <c r="G36" s="30"/>
      <c r="H36" s="30"/>
      <c r="I36" s="30"/>
      <c r="J36" s="30"/>
    </row>
    <row r="37" spans="1:10">
      <c r="A37" s="30" t="s">
        <v>116</v>
      </c>
      <c r="B37" s="30" t="s">
        <v>117</v>
      </c>
      <c r="C37" s="30"/>
      <c r="D37" s="30"/>
      <c r="E37" s="30"/>
      <c r="F37" s="30"/>
      <c r="G37" s="30"/>
      <c r="H37" s="30"/>
      <c r="I37" s="30"/>
      <c r="J37" s="30"/>
    </row>
    <row r="38" spans="1:10">
      <c r="A38" s="30" t="s">
        <v>118</v>
      </c>
      <c r="B38" s="30" t="s">
        <v>119</v>
      </c>
      <c r="C38" s="30"/>
      <c r="D38" s="30"/>
      <c r="E38" s="30"/>
      <c r="F38" s="30"/>
      <c r="G38" s="30"/>
      <c r="H38" s="30"/>
      <c r="I38" s="30"/>
      <c r="J38" s="30"/>
    </row>
    <row r="39" spans="1:10">
      <c r="A39" s="30" t="s">
        <v>120</v>
      </c>
      <c r="B39" s="30" t="s">
        <v>121</v>
      </c>
      <c r="C39" s="30"/>
      <c r="D39" s="30"/>
      <c r="E39" s="30"/>
      <c r="F39" s="30"/>
      <c r="G39" s="30"/>
      <c r="H39" s="30"/>
      <c r="I39" s="30"/>
      <c r="J39" s="30"/>
    </row>
    <row r="40" spans="1:10">
      <c r="A40" s="30" t="s">
        <v>122</v>
      </c>
      <c r="B40" s="30" t="s">
        <v>123</v>
      </c>
      <c r="C40" s="30"/>
      <c r="D40" s="30"/>
      <c r="E40" s="30"/>
      <c r="F40" s="30"/>
      <c r="G40" s="30"/>
      <c r="H40" s="30"/>
      <c r="I40" s="30"/>
      <c r="J40" s="30"/>
    </row>
    <row r="42" spans="1:10" ht="30">
      <c r="A42" s="29" t="s">
        <v>112</v>
      </c>
      <c r="B42" s="29" t="s">
        <v>45</v>
      </c>
      <c r="C42" s="29" t="s">
        <v>54</v>
      </c>
      <c r="D42" s="29" t="s">
        <v>55</v>
      </c>
      <c r="E42" s="27"/>
      <c r="F42" s="28" t="s">
        <v>3</v>
      </c>
      <c r="G42" s="28"/>
    </row>
    <row r="43" spans="1:10" ht="57">
      <c r="A43" s="34">
        <v>1</v>
      </c>
      <c r="B43" s="35">
        <v>46029</v>
      </c>
      <c r="C43" s="34">
        <v>43</v>
      </c>
      <c r="D43" s="36" t="s">
        <v>56</v>
      </c>
      <c r="E43" s="27"/>
      <c r="F43" s="36" t="s">
        <v>3</v>
      </c>
      <c r="G43" s="36" t="s">
        <v>124</v>
      </c>
    </row>
    <row r="44" spans="1:10">
      <c r="A44" s="34">
        <v>2</v>
      </c>
      <c r="B44" s="35">
        <v>46044</v>
      </c>
      <c r="C44" s="34">
        <v>44</v>
      </c>
      <c r="D44" s="36" t="s">
        <v>56</v>
      </c>
      <c r="E44" s="27"/>
      <c r="F44" s="36"/>
      <c r="G44" s="36"/>
    </row>
    <row r="45" spans="1:10" ht="29.25">
      <c r="A45" s="34">
        <v>3</v>
      </c>
      <c r="B45" s="35">
        <v>46060</v>
      </c>
      <c r="C45" s="34">
        <v>47</v>
      </c>
      <c r="D45" s="36" t="s">
        <v>56</v>
      </c>
      <c r="E45" s="27"/>
      <c r="F45" s="37" t="s">
        <v>125</v>
      </c>
      <c r="G45" s="36" t="s">
        <v>126</v>
      </c>
    </row>
    <row r="46" spans="1:10" ht="29.25">
      <c r="A46" s="34">
        <v>4</v>
      </c>
      <c r="B46" s="35">
        <v>46075</v>
      </c>
      <c r="C46" s="34">
        <v>50</v>
      </c>
      <c r="D46" s="36" t="s">
        <v>57</v>
      </c>
      <c r="E46" s="27"/>
      <c r="F46" s="37" t="s">
        <v>127</v>
      </c>
      <c r="G46" s="36" t="s">
        <v>128</v>
      </c>
    </row>
    <row r="47" spans="1:10">
      <c r="A47" s="34">
        <v>5</v>
      </c>
      <c r="B47" s="35">
        <v>46088</v>
      </c>
      <c r="C47" s="34">
        <v>54</v>
      </c>
      <c r="D47" s="36" t="s">
        <v>58</v>
      </c>
      <c r="E47" s="27"/>
      <c r="F47" s="27"/>
      <c r="G47" s="27"/>
    </row>
    <row r="48" spans="1:10">
      <c r="A48" s="34">
        <v>6</v>
      </c>
      <c r="B48" s="35">
        <v>46103</v>
      </c>
      <c r="C48" s="34">
        <v>58</v>
      </c>
      <c r="D48" s="36" t="s">
        <v>58</v>
      </c>
      <c r="E48" s="27"/>
      <c r="F48" s="27"/>
      <c r="G48" s="27"/>
    </row>
    <row r="49" spans="1:7">
      <c r="A49" s="34">
        <v>7</v>
      </c>
      <c r="B49" s="35">
        <v>46119</v>
      </c>
      <c r="C49" s="34">
        <v>62</v>
      </c>
      <c r="D49" s="36" t="s">
        <v>59</v>
      </c>
      <c r="E49" s="27"/>
      <c r="F49" s="27"/>
      <c r="G49" s="27"/>
    </row>
    <row r="50" spans="1:7">
      <c r="A50" s="34">
        <v>8</v>
      </c>
      <c r="B50" s="35">
        <v>46134</v>
      </c>
      <c r="C50" s="34">
        <v>66</v>
      </c>
      <c r="D50" s="36" t="s">
        <v>59</v>
      </c>
      <c r="E50" s="27"/>
      <c r="F50" s="27"/>
      <c r="G50" s="27"/>
    </row>
    <row r="51" spans="1:7">
      <c r="A51" s="34">
        <v>9</v>
      </c>
      <c r="B51" s="35">
        <v>46149</v>
      </c>
      <c r="C51" s="34">
        <v>71</v>
      </c>
      <c r="D51" s="36" t="s">
        <v>60</v>
      </c>
      <c r="E51" s="27"/>
      <c r="F51" s="27"/>
      <c r="G51" s="27"/>
    </row>
    <row r="52" spans="1:7">
      <c r="A52" s="34">
        <v>10</v>
      </c>
      <c r="B52" s="35">
        <v>46164</v>
      </c>
      <c r="C52" s="34">
        <v>74</v>
      </c>
      <c r="D52" s="36" t="s">
        <v>60</v>
      </c>
      <c r="E52" s="27"/>
      <c r="F52" s="27"/>
      <c r="G52" s="27"/>
    </row>
    <row r="53" spans="1:7">
      <c r="A53" s="34">
        <v>11</v>
      </c>
      <c r="B53" s="35">
        <v>46180</v>
      </c>
      <c r="C53" s="34">
        <v>78</v>
      </c>
      <c r="D53" s="36" t="s">
        <v>60</v>
      </c>
      <c r="E53" s="27"/>
      <c r="F53" s="27"/>
      <c r="G53" s="27"/>
    </row>
    <row r="54" spans="1:7">
      <c r="A54" s="34">
        <v>12</v>
      </c>
      <c r="B54" s="35">
        <v>46195</v>
      </c>
      <c r="C54" s="34">
        <v>81</v>
      </c>
      <c r="D54" s="36" t="s">
        <v>60</v>
      </c>
      <c r="E54" s="27"/>
      <c r="F54" s="27"/>
      <c r="G54" s="27"/>
    </row>
    <row r="55" spans="1:7">
      <c r="A55" s="34">
        <v>13</v>
      </c>
      <c r="B55" s="35">
        <v>46210</v>
      </c>
      <c r="C55" s="34">
        <v>82</v>
      </c>
      <c r="D55" s="36" t="s">
        <v>61</v>
      </c>
      <c r="E55" s="27"/>
      <c r="F55" s="27"/>
      <c r="G55" s="27"/>
    </row>
    <row r="56" spans="1:7">
      <c r="A56" s="34">
        <v>14</v>
      </c>
      <c r="B56" s="35">
        <v>46225</v>
      </c>
      <c r="C56" s="34">
        <v>83</v>
      </c>
      <c r="D56" s="36" t="s">
        <v>61</v>
      </c>
      <c r="E56" s="27"/>
      <c r="F56" s="27"/>
      <c r="G56" s="27"/>
    </row>
    <row r="57" spans="1:7">
      <c r="A57" s="34">
        <v>15</v>
      </c>
      <c r="B57" s="35">
        <v>46241</v>
      </c>
      <c r="C57" s="34">
        <v>82</v>
      </c>
      <c r="D57" s="36" t="s">
        <v>61</v>
      </c>
      <c r="E57" s="27"/>
      <c r="F57" s="27"/>
      <c r="G57" s="27"/>
    </row>
    <row r="58" spans="1:7">
      <c r="A58" s="34">
        <v>16</v>
      </c>
      <c r="B58" s="35">
        <v>46256</v>
      </c>
      <c r="C58" s="34">
        <v>81</v>
      </c>
      <c r="D58" s="36" t="s">
        <v>61</v>
      </c>
    </row>
    <row r="59" spans="1:7">
      <c r="A59" s="34">
        <v>17</v>
      </c>
      <c r="B59" s="35">
        <v>46272</v>
      </c>
      <c r="C59" s="34">
        <v>77</v>
      </c>
      <c r="D59" s="36" t="s">
        <v>60</v>
      </c>
    </row>
    <row r="60" spans="1:7">
      <c r="A60" s="34">
        <v>18</v>
      </c>
      <c r="B60" s="35">
        <v>46287</v>
      </c>
      <c r="C60" s="34">
        <v>73</v>
      </c>
      <c r="D60" s="36" t="s">
        <v>60</v>
      </c>
    </row>
    <row r="61" spans="1:7">
      <c r="A61" s="34">
        <v>19</v>
      </c>
      <c r="B61" s="35">
        <v>46302</v>
      </c>
      <c r="C61" s="34">
        <v>66</v>
      </c>
      <c r="D61" s="36" t="s">
        <v>62</v>
      </c>
    </row>
    <row r="62" spans="1:7">
      <c r="A62" s="34">
        <v>20</v>
      </c>
      <c r="B62" s="35">
        <v>46317</v>
      </c>
      <c r="C62" s="34">
        <v>61</v>
      </c>
      <c r="D62" s="36" t="s">
        <v>62</v>
      </c>
    </row>
    <row r="63" spans="1:7">
      <c r="A63" s="34">
        <v>21</v>
      </c>
      <c r="B63" s="35">
        <v>46333</v>
      </c>
      <c r="C63" s="34">
        <v>54</v>
      </c>
      <c r="D63" s="36" t="s">
        <v>63</v>
      </c>
    </row>
    <row r="64" spans="1:7">
      <c r="A64" s="34">
        <v>22</v>
      </c>
      <c r="B64" s="35">
        <v>46348</v>
      </c>
      <c r="C64" s="34">
        <v>50</v>
      </c>
      <c r="D64" s="36" t="s">
        <v>64</v>
      </c>
    </row>
    <row r="65" spans="1:4">
      <c r="A65" s="34">
        <v>23</v>
      </c>
      <c r="B65" s="35">
        <v>46363</v>
      </c>
      <c r="C65" s="34">
        <v>45</v>
      </c>
      <c r="D65" s="36" t="s">
        <v>56</v>
      </c>
    </row>
    <row r="66" spans="1:4">
      <c r="A66" s="34">
        <v>24</v>
      </c>
      <c r="B66" s="35">
        <v>46378</v>
      </c>
      <c r="C66" s="34">
        <v>43</v>
      </c>
      <c r="D66" s="36" t="s">
        <v>56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"/>
  <sheetViews>
    <sheetView workbookViewId="0"/>
  </sheetViews>
  <sheetFormatPr defaultRowHeight="14.25"/>
  <cols>
    <col min="1" max="1" width="24" customWidth="1"/>
    <col min="3" max="3" width="12" customWidth="1"/>
  </cols>
  <sheetData>
    <row r="1" spans="1:26" ht="15">
      <c r="A1" s="16" t="s">
        <v>65</v>
      </c>
      <c r="B1" s="15"/>
      <c r="C1" s="16" t="s">
        <v>66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t="s">
        <v>5</v>
      </c>
      <c r="C2" t="s">
        <v>67</v>
      </c>
    </row>
    <row r="3" spans="1:26">
      <c r="A3" t="s">
        <v>7</v>
      </c>
      <c r="C3" t="s">
        <v>68</v>
      </c>
    </row>
    <row r="4" spans="1:26">
      <c r="A4" t="s">
        <v>9</v>
      </c>
    </row>
    <row r="5" spans="1:26">
      <c r="A5" t="s">
        <v>11</v>
      </c>
    </row>
    <row r="6" spans="1:26">
      <c r="A6" t="s">
        <v>13</v>
      </c>
    </row>
    <row r="7" spans="1:26">
      <c r="A7" t="s">
        <v>15</v>
      </c>
    </row>
    <row r="8" spans="1:26">
      <c r="A8" t="s">
        <v>16</v>
      </c>
    </row>
    <row r="9" spans="1:26">
      <c r="A9" t="s">
        <v>17</v>
      </c>
    </row>
    <row r="10" spans="1:26">
      <c r="A10" t="s">
        <v>18</v>
      </c>
    </row>
    <row r="11" spans="1:26">
      <c r="A11" t="s">
        <v>19</v>
      </c>
    </row>
    <row r="12" spans="1:26">
      <c r="A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Annual Inputs</vt:lpstr>
      <vt:lpstr>Check Allocator</vt:lpstr>
      <vt:lpstr>Spending Tracker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Conde</cp:lastModifiedBy>
  <dcterms:modified xsi:type="dcterms:W3CDTF">2026-08-11T01:33:01Z</dcterms:modified>
</cp:coreProperties>
</file>